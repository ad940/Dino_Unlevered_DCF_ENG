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d.docs.live.net/25D4D1CE7D5AE0E2/Documents/"/>
    </mc:Choice>
  </mc:AlternateContent>
  <xr:revisionPtr revIDLastSave="0" documentId="8_{5DAD7D05-D2CA-4663-9B20-684DD72C5638}" xr6:coauthVersionLast="47" xr6:coauthVersionMax="47" xr10:uidLastSave="{00000000-0000-0000-0000-000000000000}"/>
  <bookViews>
    <workbookView xWindow="-108" yWindow="-108" windowWidth="23256" windowHeight="12576" firstSheet="4" activeTab="4" xr2:uid="{00000000-000D-0000-FFFF-FFFF00000000}"/>
  </bookViews>
  <sheets>
    <sheet name="Dashboard" sheetId="1" r:id="rId1"/>
    <sheet name="Assumptions" sheetId="2" r:id="rId2"/>
    <sheet name="Source Data" sheetId="3" r:id="rId3"/>
    <sheet name="Operating Drivers" sheetId="4" r:id="rId4"/>
    <sheet name="Three-Statement Model" sheetId="5" r:id="rId5"/>
    <sheet name="Debt and WACC" sheetId="6" r:id="rId6"/>
    <sheet name="DCF Valuation" sheetId="7" r:id="rId7"/>
    <sheet name="Check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4" l="1"/>
  <c r="J17" i="4"/>
  <c r="K17" i="4"/>
  <c r="L17" i="4"/>
  <c r="H17" i="4"/>
  <c r="C16" i="4"/>
  <c r="D16" i="4"/>
  <c r="E16" i="4"/>
  <c r="F16" i="4"/>
  <c r="G16" i="4"/>
  <c r="H16" i="4" s="1"/>
  <c r="B16" i="4"/>
  <c r="B13" i="4"/>
  <c r="C13" i="4"/>
  <c r="D13" i="4"/>
  <c r="E13" i="4"/>
  <c r="F13" i="4"/>
  <c r="G13" i="4"/>
  <c r="H13" i="4" s="1"/>
  <c r="I13" i="4" s="1"/>
  <c r="J13" i="4" s="1"/>
  <c r="K13" i="4" s="1"/>
  <c r="L13" i="4" s="1"/>
  <c r="E12" i="4"/>
  <c r="F12" i="4"/>
  <c r="G12" i="4"/>
  <c r="H12" i="4"/>
  <c r="I12" i="4"/>
  <c r="D12" i="4"/>
  <c r="H21" i="5"/>
  <c r="I21" i="5" s="1"/>
  <c r="J21" i="5" s="1"/>
  <c r="K21" i="5" s="1"/>
  <c r="L21" i="5" s="1"/>
  <c r="H78" i="5"/>
  <c r="H76" i="5"/>
  <c r="H69" i="5"/>
  <c r="H67" i="5"/>
  <c r="B68" i="5"/>
  <c r="C68" i="5"/>
  <c r="D68" i="5"/>
  <c r="E68" i="5"/>
  <c r="F68" i="5"/>
  <c r="G68" i="5"/>
  <c r="B69" i="5"/>
  <c r="C69" i="5"/>
  <c r="D69" i="5"/>
  <c r="E69" i="5"/>
  <c r="F69" i="5"/>
  <c r="G69" i="5"/>
  <c r="C67" i="5"/>
  <c r="D67" i="5"/>
  <c r="E67" i="5"/>
  <c r="F67" i="5"/>
  <c r="G67" i="5"/>
  <c r="B67" i="5"/>
  <c r="H22" i="5"/>
  <c r="H18" i="6"/>
  <c r="B77" i="5"/>
  <c r="C77" i="5"/>
  <c r="D77" i="5"/>
  <c r="E77" i="5"/>
  <c r="F77" i="5"/>
  <c r="G77" i="5"/>
  <c r="B78" i="5"/>
  <c r="C78" i="5"/>
  <c r="D78" i="5"/>
  <c r="E78" i="5"/>
  <c r="F78" i="5"/>
  <c r="G78" i="5"/>
  <c r="C76" i="5"/>
  <c r="D76" i="5"/>
  <c r="E76" i="5"/>
  <c r="F76" i="5"/>
  <c r="G76" i="5"/>
  <c r="B76" i="5"/>
  <c r="B6" i="2"/>
  <c r="C13" i="6"/>
  <c r="D13" i="6"/>
  <c r="E13" i="6"/>
  <c r="F13" i="6"/>
  <c r="G13" i="6"/>
  <c r="B13" i="6"/>
  <c r="B22" i="5"/>
  <c r="B18" i="6" s="1"/>
  <c r="C22" i="5"/>
  <c r="C18" i="6" s="1"/>
  <c r="D22" i="5"/>
  <c r="D18" i="6" s="1"/>
  <c r="E22" i="5"/>
  <c r="E18" i="6" s="1"/>
  <c r="F22" i="5"/>
  <c r="F18" i="6" s="1"/>
  <c r="G22" i="5"/>
  <c r="G18" i="6" s="1"/>
  <c r="B23" i="5"/>
  <c r="C23" i="5"/>
  <c r="D23" i="5"/>
  <c r="E23" i="5"/>
  <c r="F23" i="5"/>
  <c r="G23" i="5"/>
  <c r="B24" i="5"/>
  <c r="C24" i="5"/>
  <c r="D24" i="5"/>
  <c r="E24" i="5"/>
  <c r="F24" i="5"/>
  <c r="G24" i="5"/>
  <c r="C21" i="5"/>
  <c r="C20" i="6" s="1"/>
  <c r="D21" i="5"/>
  <c r="D20" i="6" s="1"/>
  <c r="E21" i="5"/>
  <c r="E20" i="6" s="1"/>
  <c r="F21" i="5"/>
  <c r="F20" i="6" s="1"/>
  <c r="G21" i="5"/>
  <c r="B21" i="5"/>
  <c r="C34" i="5"/>
  <c r="D34" i="5"/>
  <c r="E34" i="5"/>
  <c r="F34" i="5"/>
  <c r="G34" i="5"/>
  <c r="D33" i="5"/>
  <c r="E33" i="5"/>
  <c r="F33" i="5"/>
  <c r="G33" i="5"/>
  <c r="C33" i="5"/>
  <c r="B34" i="5"/>
  <c r="C69" i="3"/>
  <c r="C75" i="3" s="1"/>
  <c r="D69" i="3"/>
  <c r="D75" i="3" s="1"/>
  <c r="E69" i="3"/>
  <c r="E75" i="3" s="1"/>
  <c r="F69" i="3"/>
  <c r="F75" i="3" s="1"/>
  <c r="G69" i="3"/>
  <c r="G75" i="3" s="1"/>
  <c r="B69" i="3"/>
  <c r="B75" i="3" s="1"/>
  <c r="C38" i="5"/>
  <c r="D38" i="5"/>
  <c r="E38" i="5"/>
  <c r="F38" i="5"/>
  <c r="G38" i="5"/>
  <c r="B38" i="5"/>
  <c r="B9" i="2"/>
  <c r="F16" i="7"/>
  <c r="E16" i="7"/>
  <c r="D16" i="7"/>
  <c r="C16" i="7"/>
  <c r="B16" i="7"/>
  <c r="B6" i="7"/>
  <c r="L33" i="6"/>
  <c r="K33" i="6"/>
  <c r="J33" i="6"/>
  <c r="I33" i="6"/>
  <c r="H33" i="6"/>
  <c r="L31" i="6"/>
  <c r="K31" i="6"/>
  <c r="J31" i="6"/>
  <c r="I31" i="6"/>
  <c r="H31" i="6"/>
  <c r="G31" i="6"/>
  <c r="F31" i="6"/>
  <c r="E31" i="6"/>
  <c r="D31" i="6"/>
  <c r="C31" i="6"/>
  <c r="B31" i="6"/>
  <c r="L29" i="6"/>
  <c r="K29" i="6"/>
  <c r="J29" i="6"/>
  <c r="I29" i="6"/>
  <c r="H29" i="6"/>
  <c r="L27" i="6"/>
  <c r="K27" i="6"/>
  <c r="J27" i="6"/>
  <c r="I27" i="6"/>
  <c r="H27" i="6"/>
  <c r="G27" i="6"/>
  <c r="F27" i="6"/>
  <c r="E27" i="6"/>
  <c r="D27" i="6"/>
  <c r="C27" i="6"/>
  <c r="B27" i="6"/>
  <c r="G19" i="6"/>
  <c r="F19" i="6"/>
  <c r="E19" i="6"/>
  <c r="D19" i="6"/>
  <c r="C19" i="6"/>
  <c r="B19" i="6"/>
  <c r="G17" i="6"/>
  <c r="F17" i="6"/>
  <c r="E17" i="6"/>
  <c r="D17" i="6"/>
  <c r="C17" i="6"/>
  <c r="B17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81" i="5"/>
  <c r="H81" i="5" s="1"/>
  <c r="I81" i="5" s="1"/>
  <c r="J81" i="5" s="1"/>
  <c r="K81" i="5" s="1"/>
  <c r="L81" i="5" s="1"/>
  <c r="F81" i="5"/>
  <c r="E81" i="5"/>
  <c r="D81" i="5"/>
  <c r="C81" i="5"/>
  <c r="B81" i="5"/>
  <c r="G80" i="5"/>
  <c r="H80" i="5" s="1"/>
  <c r="I80" i="5" s="1"/>
  <c r="J80" i="5" s="1"/>
  <c r="K80" i="5" s="1"/>
  <c r="L80" i="5" s="1"/>
  <c r="F80" i="5"/>
  <c r="E80" i="5"/>
  <c r="D80" i="5"/>
  <c r="C80" i="5"/>
  <c r="B80" i="5"/>
  <c r="G79" i="5"/>
  <c r="F79" i="5"/>
  <c r="E79" i="5"/>
  <c r="D79" i="5"/>
  <c r="C79" i="5"/>
  <c r="B79" i="5"/>
  <c r="G75" i="5"/>
  <c r="F75" i="5"/>
  <c r="E75" i="5"/>
  <c r="D75" i="5"/>
  <c r="C75" i="5"/>
  <c r="B75" i="5"/>
  <c r="G73" i="5"/>
  <c r="H73" i="5" s="1"/>
  <c r="I73" i="5" s="1"/>
  <c r="J73" i="5" s="1"/>
  <c r="K73" i="5" s="1"/>
  <c r="L73" i="5" s="1"/>
  <c r="F73" i="5"/>
  <c r="E73" i="5"/>
  <c r="D73" i="5"/>
  <c r="C73" i="5"/>
  <c r="B73" i="5"/>
  <c r="G72" i="5"/>
  <c r="H72" i="5" s="1"/>
  <c r="I72" i="5" s="1"/>
  <c r="J72" i="5" s="1"/>
  <c r="K72" i="5" s="1"/>
  <c r="L72" i="5" s="1"/>
  <c r="F72" i="5"/>
  <c r="E72" i="5"/>
  <c r="D72" i="5"/>
  <c r="C72" i="5"/>
  <c r="B72" i="5"/>
  <c r="G71" i="5"/>
  <c r="H71" i="5" s="1"/>
  <c r="I71" i="5" s="1"/>
  <c r="J71" i="5" s="1"/>
  <c r="K71" i="5" s="1"/>
  <c r="L71" i="5" s="1"/>
  <c r="F71" i="5"/>
  <c r="E71" i="5"/>
  <c r="D71" i="5"/>
  <c r="C71" i="5"/>
  <c r="B71" i="5"/>
  <c r="G70" i="5"/>
  <c r="H70" i="5" s="1"/>
  <c r="I70" i="5" s="1"/>
  <c r="J70" i="5" s="1"/>
  <c r="K70" i="5" s="1"/>
  <c r="L70" i="5" s="1"/>
  <c r="F70" i="5"/>
  <c r="E70" i="5"/>
  <c r="D70" i="5"/>
  <c r="C70" i="5"/>
  <c r="B70" i="5"/>
  <c r="G64" i="5"/>
  <c r="H64" i="5" s="1"/>
  <c r="I64" i="5" s="1"/>
  <c r="J64" i="5" s="1"/>
  <c r="K64" i="5" s="1"/>
  <c r="L64" i="5" s="1"/>
  <c r="F64" i="5"/>
  <c r="E64" i="5"/>
  <c r="D64" i="5"/>
  <c r="C64" i="5"/>
  <c r="B64" i="5"/>
  <c r="G63" i="5"/>
  <c r="H63" i="5" s="1"/>
  <c r="I63" i="5" s="1"/>
  <c r="J63" i="5" s="1"/>
  <c r="K63" i="5" s="1"/>
  <c r="L63" i="5" s="1"/>
  <c r="F63" i="5"/>
  <c r="E63" i="5"/>
  <c r="D63" i="5"/>
  <c r="C63" i="5"/>
  <c r="B63" i="5"/>
  <c r="G62" i="5"/>
  <c r="F62" i="5"/>
  <c r="E62" i="5"/>
  <c r="D62" i="5"/>
  <c r="C62" i="5"/>
  <c r="B62" i="5"/>
  <c r="G61" i="5"/>
  <c r="H61" i="5" s="1"/>
  <c r="I61" i="5" s="1"/>
  <c r="J61" i="5" s="1"/>
  <c r="K61" i="5" s="1"/>
  <c r="L61" i="5" s="1"/>
  <c r="F61" i="5"/>
  <c r="E61" i="5"/>
  <c r="D61" i="5"/>
  <c r="C61" i="5"/>
  <c r="B61" i="5"/>
  <c r="G60" i="5"/>
  <c r="F60" i="5"/>
  <c r="E60" i="5"/>
  <c r="E65" i="5" s="1"/>
  <c r="D60" i="5"/>
  <c r="C60" i="5"/>
  <c r="B60" i="5"/>
  <c r="G55" i="5"/>
  <c r="H55" i="5" s="1"/>
  <c r="I55" i="5" s="1"/>
  <c r="J55" i="5" s="1"/>
  <c r="K55" i="5" s="1"/>
  <c r="L55" i="5" s="1"/>
  <c r="F55" i="5"/>
  <c r="E55" i="5"/>
  <c r="D55" i="5"/>
  <c r="C55" i="5"/>
  <c r="B55" i="5"/>
  <c r="G54" i="5"/>
  <c r="H54" i="5" s="1"/>
  <c r="I54" i="5" s="1"/>
  <c r="J54" i="5" s="1"/>
  <c r="K54" i="5" s="1"/>
  <c r="L54" i="5" s="1"/>
  <c r="F54" i="5"/>
  <c r="E54" i="5"/>
  <c r="D54" i="5"/>
  <c r="C54" i="5"/>
  <c r="B54" i="5"/>
  <c r="G53" i="5"/>
  <c r="H53" i="5" s="1"/>
  <c r="I53" i="5" s="1"/>
  <c r="J53" i="5" s="1"/>
  <c r="K53" i="5" s="1"/>
  <c r="L53" i="5" s="1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C90" i="5" s="1"/>
  <c r="B51" i="5"/>
  <c r="B90" i="5" s="1"/>
  <c r="G49" i="5"/>
  <c r="H49" i="5" s="1"/>
  <c r="I49" i="5" s="1"/>
  <c r="J49" i="5" s="1"/>
  <c r="K49" i="5" s="1"/>
  <c r="L49" i="5" s="1"/>
  <c r="F49" i="5"/>
  <c r="E49" i="5"/>
  <c r="D49" i="5"/>
  <c r="C49" i="5"/>
  <c r="B49" i="5"/>
  <c r="G48" i="5"/>
  <c r="H48" i="5" s="1"/>
  <c r="I48" i="5" s="1"/>
  <c r="J48" i="5" s="1"/>
  <c r="K48" i="5" s="1"/>
  <c r="L48" i="5" s="1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C50" i="5" s="1"/>
  <c r="B46" i="5"/>
  <c r="G44" i="5"/>
  <c r="F44" i="5"/>
  <c r="F56" i="5" s="1"/>
  <c r="E44" i="5"/>
  <c r="D44" i="5"/>
  <c r="C44" i="5"/>
  <c r="C56" i="5" s="1"/>
  <c r="B44" i="5"/>
  <c r="B56" i="5" s="1"/>
  <c r="H43" i="5"/>
  <c r="G43" i="5"/>
  <c r="F43" i="5"/>
  <c r="E43" i="5"/>
  <c r="D43" i="5"/>
  <c r="C43" i="5"/>
  <c r="B43" i="5"/>
  <c r="L40" i="5"/>
  <c r="K40" i="5"/>
  <c r="J40" i="5"/>
  <c r="I40" i="5"/>
  <c r="H40" i="5"/>
  <c r="L39" i="5"/>
  <c r="K39" i="5"/>
  <c r="J39" i="5"/>
  <c r="I39" i="5"/>
  <c r="H39" i="5"/>
  <c r="G39" i="5"/>
  <c r="F39" i="5"/>
  <c r="E39" i="5"/>
  <c r="D39" i="5"/>
  <c r="C39" i="5"/>
  <c r="B39" i="5"/>
  <c r="L36" i="5"/>
  <c r="K36" i="5"/>
  <c r="J36" i="5"/>
  <c r="I36" i="5"/>
  <c r="H36" i="5"/>
  <c r="G35" i="5"/>
  <c r="F35" i="5"/>
  <c r="E35" i="5"/>
  <c r="E36" i="5" s="1"/>
  <c r="D35" i="5"/>
  <c r="C35" i="5"/>
  <c r="C36" i="5" s="1"/>
  <c r="C37" i="5" s="1"/>
  <c r="B35" i="5"/>
  <c r="B36" i="5" s="1"/>
  <c r="B37" i="5" s="1"/>
  <c r="G27" i="5"/>
  <c r="F27" i="5"/>
  <c r="E27" i="5"/>
  <c r="D27" i="5"/>
  <c r="C27" i="5"/>
  <c r="B27" i="5"/>
  <c r="F25" i="5"/>
  <c r="E25" i="5"/>
  <c r="D25" i="5"/>
  <c r="C25" i="5"/>
  <c r="L24" i="5"/>
  <c r="K24" i="5"/>
  <c r="J24" i="5"/>
  <c r="I24" i="5"/>
  <c r="H24" i="5"/>
  <c r="L23" i="5"/>
  <c r="K23" i="5"/>
  <c r="J23" i="5"/>
  <c r="I23" i="5"/>
  <c r="H23" i="5"/>
  <c r="H20" i="5"/>
  <c r="G20" i="5"/>
  <c r="F20" i="5"/>
  <c r="E20" i="5"/>
  <c r="D20" i="5"/>
  <c r="C20" i="5"/>
  <c r="B20" i="5"/>
  <c r="G17" i="5"/>
  <c r="F17" i="5"/>
  <c r="E17" i="5"/>
  <c r="D17" i="5"/>
  <c r="C17" i="5"/>
  <c r="B17" i="5"/>
  <c r="G14" i="5"/>
  <c r="H14" i="5" s="1"/>
  <c r="I14" i="5" s="1"/>
  <c r="J14" i="5" s="1"/>
  <c r="K14" i="5" s="1"/>
  <c r="L14" i="5" s="1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8" i="5"/>
  <c r="F8" i="5"/>
  <c r="E8" i="5"/>
  <c r="D8" i="5"/>
  <c r="C8" i="5"/>
  <c r="B8" i="5"/>
  <c r="G6" i="5"/>
  <c r="B25" i="1" s="1"/>
  <c r="F6" i="5"/>
  <c r="B24" i="1" s="1"/>
  <c r="E6" i="5"/>
  <c r="D6" i="5"/>
  <c r="C6" i="5"/>
  <c r="B6" i="5"/>
  <c r="B20" i="1" s="1"/>
  <c r="L19" i="4"/>
  <c r="K19" i="4"/>
  <c r="J19" i="4"/>
  <c r="I19" i="4"/>
  <c r="H19" i="4"/>
  <c r="G17" i="4"/>
  <c r="G19" i="4" s="1"/>
  <c r="F17" i="4"/>
  <c r="E17" i="4"/>
  <c r="D17" i="4"/>
  <c r="D19" i="4" s="1"/>
  <c r="C17" i="4"/>
  <c r="B17" i="4"/>
  <c r="G8" i="4"/>
  <c r="F8" i="4"/>
  <c r="E8" i="4"/>
  <c r="D8" i="4"/>
  <c r="C8" i="4"/>
  <c r="B8" i="4"/>
  <c r="L7" i="4"/>
  <c r="K7" i="4"/>
  <c r="J7" i="4"/>
  <c r="I7" i="4"/>
  <c r="H7" i="4"/>
  <c r="H13" i="5" s="1"/>
  <c r="I13" i="5" s="1"/>
  <c r="J13" i="5" s="1"/>
  <c r="K13" i="5" s="1"/>
  <c r="L13" i="5" s="1"/>
  <c r="G6" i="4"/>
  <c r="F6" i="4"/>
  <c r="E6" i="4"/>
  <c r="E10" i="4" s="1"/>
  <c r="F11" i="4" s="1"/>
  <c r="D6" i="4"/>
  <c r="C6" i="4"/>
  <c r="C10" i="4" s="1"/>
  <c r="D11" i="4" s="1"/>
  <c r="B6" i="4"/>
  <c r="G98" i="3"/>
  <c r="F98" i="3"/>
  <c r="E98" i="3"/>
  <c r="D98" i="3"/>
  <c r="C98" i="3"/>
  <c r="B98" i="3"/>
  <c r="G24" i="2"/>
  <c r="G24" i="6" s="1"/>
  <c r="F24" i="2"/>
  <c r="F24" i="6" s="1"/>
  <c r="E24" i="2"/>
  <c r="E24" i="6" s="1"/>
  <c r="D24" i="2"/>
  <c r="D24" i="6" s="1"/>
  <c r="C24" i="2"/>
  <c r="C24" i="6" s="1"/>
  <c r="B24" i="2"/>
  <c r="B24" i="6" s="1"/>
  <c r="G23" i="2"/>
  <c r="G29" i="6" s="1"/>
  <c r="F23" i="2"/>
  <c r="F29" i="6" s="1"/>
  <c r="E23" i="2"/>
  <c r="E29" i="6" s="1"/>
  <c r="D23" i="2"/>
  <c r="D29" i="6" s="1"/>
  <c r="C23" i="2"/>
  <c r="C29" i="6" s="1"/>
  <c r="B23" i="2"/>
  <c r="B29" i="6" s="1"/>
  <c r="G22" i="2"/>
  <c r="G23" i="6" s="1"/>
  <c r="F22" i="2"/>
  <c r="F23" i="6" s="1"/>
  <c r="E22" i="2"/>
  <c r="E23" i="6" s="1"/>
  <c r="D22" i="2"/>
  <c r="D23" i="6" s="1"/>
  <c r="C22" i="2"/>
  <c r="C23" i="6" s="1"/>
  <c r="B22" i="2"/>
  <c r="B23" i="6" s="1"/>
  <c r="B17" i="2"/>
  <c r="B10" i="2"/>
  <c r="B27" i="7"/>
  <c r="G7" i="1" s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I16" i="4" l="1"/>
  <c r="B19" i="4"/>
  <c r="G10" i="4"/>
  <c r="H11" i="4" s="1"/>
  <c r="B12" i="4"/>
  <c r="C12" i="4"/>
  <c r="D10" i="4"/>
  <c r="E11" i="4" s="1"/>
  <c r="F10" i="4"/>
  <c r="G11" i="4" s="1"/>
  <c r="B14" i="4"/>
  <c r="H6" i="4"/>
  <c r="E17" i="1"/>
  <c r="D17" i="1"/>
  <c r="I76" i="5"/>
  <c r="I67" i="5"/>
  <c r="I78" i="5"/>
  <c r="I69" i="5"/>
  <c r="J69" i="5" s="1"/>
  <c r="H30" i="6"/>
  <c r="G30" i="6"/>
  <c r="G32" i="6" s="1"/>
  <c r="F30" i="6"/>
  <c r="F32" i="6" s="1"/>
  <c r="E30" i="6"/>
  <c r="D30" i="6"/>
  <c r="D32" i="6" s="1"/>
  <c r="C30" i="6"/>
  <c r="C32" i="6" s="1"/>
  <c r="B30" i="6"/>
  <c r="B32" i="6" s="1"/>
  <c r="J30" i="6"/>
  <c r="J32" i="6" s="1"/>
  <c r="L30" i="6"/>
  <c r="L32" i="6" s="1"/>
  <c r="K30" i="6"/>
  <c r="K32" i="6" s="1"/>
  <c r="I30" i="6"/>
  <c r="I32" i="6" s="1"/>
  <c r="D90" i="5"/>
  <c r="D23" i="4" s="1"/>
  <c r="G90" i="5"/>
  <c r="G23" i="4" s="1"/>
  <c r="F90" i="5"/>
  <c r="F23" i="4" s="1"/>
  <c r="E90" i="5"/>
  <c r="E23" i="4" s="1"/>
  <c r="G25" i="5"/>
  <c r="G20" i="6"/>
  <c r="B25" i="5"/>
  <c r="B20" i="6"/>
  <c r="I16" i="7"/>
  <c r="I8" i="7"/>
  <c r="F7" i="5"/>
  <c r="B23" i="1"/>
  <c r="G40" i="5"/>
  <c r="B88" i="5"/>
  <c r="B89" i="5" s="1"/>
  <c r="D9" i="4"/>
  <c r="D7" i="4"/>
  <c r="C7" i="4"/>
  <c r="F36" i="5"/>
  <c r="F37" i="5" s="1"/>
  <c r="F22" i="4"/>
  <c r="C18" i="4"/>
  <c r="G9" i="4"/>
  <c r="E9" i="4"/>
  <c r="G7" i="4"/>
  <c r="E7" i="4"/>
  <c r="C23" i="4"/>
  <c r="F14" i="4"/>
  <c r="F9" i="4"/>
  <c r="H10" i="6"/>
  <c r="G32" i="5"/>
  <c r="G15" i="5"/>
  <c r="F32" i="5"/>
  <c r="F15" i="5"/>
  <c r="F16" i="5" s="1"/>
  <c r="E32" i="5"/>
  <c r="E15" i="5"/>
  <c r="E16" i="5" s="1"/>
  <c r="D32" i="5"/>
  <c r="D15" i="5"/>
  <c r="D16" i="5" s="1"/>
  <c r="C32" i="5"/>
  <c r="C15" i="5"/>
  <c r="C16" i="5" s="1"/>
  <c r="B32" i="5"/>
  <c r="B15" i="5"/>
  <c r="B16" i="5" s="1"/>
  <c r="E19" i="4"/>
  <c r="E18" i="4"/>
  <c r="B23" i="4"/>
  <c r="B49" i="2"/>
  <c r="C65" i="5"/>
  <c r="F9" i="5"/>
  <c r="F10" i="5" s="1"/>
  <c r="F88" i="5"/>
  <c r="E50" i="5"/>
  <c r="F40" i="5"/>
  <c r="F41" i="5" s="1"/>
  <c r="E22" i="4"/>
  <c r="E7" i="5"/>
  <c r="F50" i="5"/>
  <c r="F65" i="5"/>
  <c r="B65" i="5"/>
  <c r="B50" i="5"/>
  <c r="E40" i="5"/>
  <c r="E41" i="5" s="1"/>
  <c r="B40" i="5"/>
  <c r="B41" i="5" s="1"/>
  <c r="I6" i="7"/>
  <c r="E82" i="5"/>
  <c r="E83" i="5" s="1"/>
  <c r="F19" i="4"/>
  <c r="D65" i="5"/>
  <c r="C88" i="5"/>
  <c r="D14" i="4"/>
  <c r="D50" i="5"/>
  <c r="B21" i="1"/>
  <c r="C9" i="4"/>
  <c r="B22" i="1"/>
  <c r="B57" i="5"/>
  <c r="H11" i="6"/>
  <c r="E88" i="5"/>
  <c r="B82" i="5"/>
  <c r="B83" i="5" s="1"/>
  <c r="E37" i="5"/>
  <c r="F74" i="5"/>
  <c r="G25" i="2"/>
  <c r="I9" i="7"/>
  <c r="B25" i="2"/>
  <c r="B17" i="1"/>
  <c r="E25" i="2"/>
  <c r="E32" i="6"/>
  <c r="E25" i="6"/>
  <c r="C17" i="1"/>
  <c r="F25" i="6"/>
  <c r="H32" i="6"/>
  <c r="G25" i="6"/>
  <c r="B7" i="8"/>
  <c r="C7" i="8"/>
  <c r="D25" i="2"/>
  <c r="F7" i="4"/>
  <c r="C14" i="4"/>
  <c r="D18" i="4"/>
  <c r="B9" i="5"/>
  <c r="B10" i="5" s="1"/>
  <c r="D36" i="5"/>
  <c r="D37" i="5" s="1"/>
  <c r="D56" i="5"/>
  <c r="C9" i="5"/>
  <c r="C10" i="5" s="1"/>
  <c r="C57" i="5"/>
  <c r="C58" i="5" s="1"/>
  <c r="B25" i="7"/>
  <c r="L24" i="6"/>
  <c r="K24" i="6"/>
  <c r="J24" i="6"/>
  <c r="I24" i="6"/>
  <c r="H24" i="6"/>
  <c r="F25" i="2"/>
  <c r="E14" i="4"/>
  <c r="F18" i="4"/>
  <c r="C19" i="4"/>
  <c r="B22" i="4"/>
  <c r="D9" i="5"/>
  <c r="D10" i="5" s="1"/>
  <c r="G41" i="5"/>
  <c r="F7" i="8"/>
  <c r="G50" i="5"/>
  <c r="G88" i="5"/>
  <c r="G74" i="5"/>
  <c r="B74" i="5"/>
  <c r="L34" i="6"/>
  <c r="K34" i="6"/>
  <c r="J34" i="6"/>
  <c r="I34" i="6"/>
  <c r="H34" i="6"/>
  <c r="G18" i="4"/>
  <c r="C22" i="4"/>
  <c r="C7" i="5"/>
  <c r="E9" i="5"/>
  <c r="E10" i="5" s="1"/>
  <c r="G36" i="5"/>
  <c r="G37" i="5" s="1"/>
  <c r="C40" i="5"/>
  <c r="C41" i="5" s="1"/>
  <c r="E56" i="5"/>
  <c r="E74" i="5"/>
  <c r="G82" i="5"/>
  <c r="G83" i="5" s="1"/>
  <c r="B25" i="6"/>
  <c r="G14" i="4"/>
  <c r="D22" i="4"/>
  <c r="D7" i="5"/>
  <c r="D40" i="5"/>
  <c r="D41" i="5" s="1"/>
  <c r="F57" i="5"/>
  <c r="G56" i="5"/>
  <c r="C25" i="6"/>
  <c r="G9" i="5"/>
  <c r="G10" i="5" s="1"/>
  <c r="H7" i="6"/>
  <c r="H6" i="6"/>
  <c r="D25" i="6"/>
  <c r="H60" i="5"/>
  <c r="G65" i="5"/>
  <c r="C74" i="5"/>
  <c r="F17" i="1"/>
  <c r="C25" i="2"/>
  <c r="G22" i="4"/>
  <c r="G7" i="5"/>
  <c r="D88" i="5"/>
  <c r="I17" i="7"/>
  <c r="I15" i="7"/>
  <c r="C82" i="5"/>
  <c r="C83" i="5" s="1"/>
  <c r="I18" i="7"/>
  <c r="D74" i="5"/>
  <c r="D82" i="5"/>
  <c r="D83" i="5" s="1"/>
  <c r="I7" i="7"/>
  <c r="I14" i="7"/>
  <c r="I10" i="7"/>
  <c r="F82" i="5"/>
  <c r="F83" i="5" s="1"/>
  <c r="F84" i="5" s="1"/>
  <c r="F85" i="5" s="1"/>
  <c r="J76" i="5" l="1"/>
  <c r="J67" i="5"/>
  <c r="J16" i="4"/>
  <c r="H10" i="4"/>
  <c r="J12" i="4"/>
  <c r="C15" i="4"/>
  <c r="I6" i="4"/>
  <c r="H8" i="4"/>
  <c r="H9" i="4" s="1"/>
  <c r="C25" i="1"/>
  <c r="G20" i="4"/>
  <c r="J78" i="5"/>
  <c r="H68" i="5"/>
  <c r="H77" i="5"/>
  <c r="K78" i="5"/>
  <c r="K69" i="5"/>
  <c r="B12" i="6"/>
  <c r="B15" i="6" s="1"/>
  <c r="B21" i="6" s="1"/>
  <c r="B28" i="6" s="1"/>
  <c r="C91" i="5"/>
  <c r="B91" i="5"/>
  <c r="F89" i="5"/>
  <c r="G91" i="5"/>
  <c r="F12" i="6"/>
  <c r="C89" i="5"/>
  <c r="C12" i="6"/>
  <c r="D91" i="5"/>
  <c r="E12" i="6"/>
  <c r="F91" i="5"/>
  <c r="G12" i="6"/>
  <c r="G33" i="6" s="1"/>
  <c r="D12" i="6"/>
  <c r="E91" i="5"/>
  <c r="B33" i="6"/>
  <c r="B34" i="6" s="1"/>
  <c r="C22" i="1"/>
  <c r="D18" i="5"/>
  <c r="H8" i="6"/>
  <c r="H9" i="6"/>
  <c r="F18" i="5"/>
  <c r="F20" i="4"/>
  <c r="F58" i="5"/>
  <c r="F86" i="5" s="1"/>
  <c r="F4" i="8" s="1"/>
  <c r="C20" i="4"/>
  <c r="C21" i="1"/>
  <c r="C18" i="5"/>
  <c r="B58" i="5"/>
  <c r="E15" i="4"/>
  <c r="F15" i="4"/>
  <c r="G15" i="4"/>
  <c r="H38" i="5"/>
  <c r="H41" i="5" s="1"/>
  <c r="C49" i="2"/>
  <c r="B20" i="4"/>
  <c r="G18" i="5"/>
  <c r="C23" i="1"/>
  <c r="D89" i="5"/>
  <c r="E18" i="5"/>
  <c r="G16" i="5"/>
  <c r="E20" i="4"/>
  <c r="D20" i="4"/>
  <c r="C20" i="1"/>
  <c r="I11" i="6"/>
  <c r="B18" i="5"/>
  <c r="B26" i="5" s="1"/>
  <c r="B28" i="5" s="1"/>
  <c r="E84" i="5"/>
  <c r="E85" i="5" s="1"/>
  <c r="C24" i="1"/>
  <c r="I10" i="6"/>
  <c r="D15" i="4"/>
  <c r="I60" i="5"/>
  <c r="G7" i="8"/>
  <c r="D84" i="5"/>
  <c r="D85" i="5" s="1"/>
  <c r="B84" i="5"/>
  <c r="B85" i="5" s="1"/>
  <c r="F6" i="8"/>
  <c r="F14" i="6"/>
  <c r="F26" i="6" s="1"/>
  <c r="D33" i="6"/>
  <c r="G84" i="5"/>
  <c r="G85" i="5" s="1"/>
  <c r="C84" i="5"/>
  <c r="C85" i="5" s="1"/>
  <c r="C86" i="5" s="1"/>
  <c r="C4" i="8" s="1"/>
  <c r="E89" i="5"/>
  <c r="E57" i="5"/>
  <c r="E58" i="5" s="1"/>
  <c r="G89" i="5"/>
  <c r="B23" i="7" s="1"/>
  <c r="D57" i="5"/>
  <c r="D58" i="5" s="1"/>
  <c r="I6" i="6"/>
  <c r="I7" i="6"/>
  <c r="G57" i="5"/>
  <c r="G58" i="5" s="1"/>
  <c r="K76" i="5" l="1"/>
  <c r="K67" i="5"/>
  <c r="K16" i="4"/>
  <c r="I11" i="4"/>
  <c r="I10" i="4"/>
  <c r="J11" i="4" s="1"/>
  <c r="K12" i="4"/>
  <c r="I8" i="4"/>
  <c r="I9" i="4" s="1"/>
  <c r="J6" i="4"/>
  <c r="K6" i="4" s="1"/>
  <c r="K10" i="4" s="1"/>
  <c r="L11" i="4" s="1"/>
  <c r="F33" i="6"/>
  <c r="F34" i="6" s="1"/>
  <c r="G15" i="6"/>
  <c r="G21" i="6" s="1"/>
  <c r="G28" i="6" s="1"/>
  <c r="H12" i="6"/>
  <c r="F26" i="5"/>
  <c r="F28" i="5" s="1"/>
  <c r="F21" i="4"/>
  <c r="F19" i="5"/>
  <c r="D24" i="1" s="1"/>
  <c r="D26" i="5"/>
  <c r="D28" i="5" s="1"/>
  <c r="D21" i="4"/>
  <c r="D19" i="5"/>
  <c r="D22" i="1" s="1"/>
  <c r="I68" i="5"/>
  <c r="I77" i="5"/>
  <c r="L76" i="5"/>
  <c r="L67" i="5"/>
  <c r="L78" i="5"/>
  <c r="L69" i="5"/>
  <c r="D15" i="6"/>
  <c r="D21" i="6" s="1"/>
  <c r="D28" i="6" s="1"/>
  <c r="C15" i="6"/>
  <c r="C21" i="6" s="1"/>
  <c r="C28" i="6" s="1"/>
  <c r="H15" i="6"/>
  <c r="H20" i="6" s="1"/>
  <c r="B35" i="6"/>
  <c r="F20" i="1" s="1"/>
  <c r="B14" i="6"/>
  <c r="B26" i="6" s="1"/>
  <c r="B6" i="8"/>
  <c r="C33" i="6"/>
  <c r="C14" i="6"/>
  <c r="C26" i="6" s="1"/>
  <c r="C6" i="8"/>
  <c r="D6" i="8"/>
  <c r="E15" i="6"/>
  <c r="E21" i="6" s="1"/>
  <c r="E28" i="6" s="1"/>
  <c r="G6" i="8"/>
  <c r="G14" i="6"/>
  <c r="G26" i="6" s="1"/>
  <c r="E33" i="6"/>
  <c r="F15" i="6"/>
  <c r="F21" i="6" s="1"/>
  <c r="F28" i="6" s="1"/>
  <c r="E6" i="8"/>
  <c r="I9" i="6"/>
  <c r="B86" i="5"/>
  <c r="B4" i="8" s="1"/>
  <c r="C19" i="5"/>
  <c r="D21" i="1" s="1"/>
  <c r="C26" i="5"/>
  <c r="C28" i="5" s="1"/>
  <c r="C21" i="4"/>
  <c r="G21" i="4"/>
  <c r="G19" i="5"/>
  <c r="D25" i="1" s="1"/>
  <c r="G26" i="5"/>
  <c r="G28" i="5" s="1"/>
  <c r="H18" i="4"/>
  <c r="E86" i="5"/>
  <c r="E4" i="8" s="1"/>
  <c r="D86" i="5"/>
  <c r="D4" i="8" s="1"/>
  <c r="E21" i="4"/>
  <c r="E26" i="5"/>
  <c r="E28" i="5" s="1"/>
  <c r="I8" i="6"/>
  <c r="I38" i="5"/>
  <c r="I41" i="5" s="1"/>
  <c r="D49" i="2"/>
  <c r="E19" i="5"/>
  <c r="D23" i="1" s="1"/>
  <c r="B19" i="5"/>
  <c r="D20" i="1" s="1"/>
  <c r="B21" i="4"/>
  <c r="J10" i="6"/>
  <c r="G86" i="5"/>
  <c r="G4" i="8" s="1"/>
  <c r="J11" i="6"/>
  <c r="H25" i="5"/>
  <c r="H88" i="5"/>
  <c r="H74" i="5"/>
  <c r="D7" i="8"/>
  <c r="D34" i="6"/>
  <c r="D14" i="6"/>
  <c r="D26" i="6" s="1"/>
  <c r="J6" i="6"/>
  <c r="J7" i="6"/>
  <c r="E7" i="8"/>
  <c r="E14" i="6"/>
  <c r="E26" i="6" s="1"/>
  <c r="B31" i="5"/>
  <c r="B33" i="5" s="1"/>
  <c r="B29" i="5"/>
  <c r="J60" i="5"/>
  <c r="G34" i="6"/>
  <c r="G35" i="6" s="1"/>
  <c r="F25" i="1" s="1"/>
  <c r="F35" i="6" l="1"/>
  <c r="F24" i="1" s="1"/>
  <c r="L16" i="4"/>
  <c r="H14" i="4"/>
  <c r="H6" i="5"/>
  <c r="F31" i="5"/>
  <c r="F29" i="5"/>
  <c r="D29" i="5"/>
  <c r="D31" i="5"/>
  <c r="J8" i="4"/>
  <c r="J9" i="4" s="1"/>
  <c r="J10" i="4"/>
  <c r="L12" i="4"/>
  <c r="D35" i="6"/>
  <c r="F22" i="1" s="1"/>
  <c r="K8" i="4"/>
  <c r="J77" i="5"/>
  <c r="J68" i="5"/>
  <c r="H21" i="6"/>
  <c r="H28" i="6" s="1"/>
  <c r="H35" i="6" s="1"/>
  <c r="H17" i="6"/>
  <c r="C34" i="6"/>
  <c r="C35" i="6" s="1"/>
  <c r="F21" i="1" s="1"/>
  <c r="E34" i="6"/>
  <c r="E35" i="6" s="1"/>
  <c r="F23" i="1" s="1"/>
  <c r="H6" i="8"/>
  <c r="H91" i="5"/>
  <c r="L6" i="4"/>
  <c r="L10" i="4" s="1"/>
  <c r="C29" i="5"/>
  <c r="C31" i="5"/>
  <c r="G31" i="5"/>
  <c r="G29" i="5"/>
  <c r="E29" i="5"/>
  <c r="E31" i="5"/>
  <c r="J9" i="6"/>
  <c r="I12" i="6"/>
  <c r="J8" i="6"/>
  <c r="E49" i="2"/>
  <c r="J38" i="5"/>
  <c r="J41" i="5" s="1"/>
  <c r="K11" i="6"/>
  <c r="K10" i="6"/>
  <c r="B42" i="5"/>
  <c r="B87" i="5" s="1"/>
  <c r="B5" i="8" s="1"/>
  <c r="G42" i="5"/>
  <c r="G87" i="5" s="1"/>
  <c r="G5" i="8" s="1"/>
  <c r="I88" i="5"/>
  <c r="I74" i="5"/>
  <c r="E42" i="5"/>
  <c r="E87" i="5" s="1"/>
  <c r="E5" i="8" s="1"/>
  <c r="K60" i="5"/>
  <c r="K6" i="6"/>
  <c r="K7" i="6"/>
  <c r="C42" i="5"/>
  <c r="C87" i="5" s="1"/>
  <c r="C5" i="8" s="1"/>
  <c r="I6" i="5" l="1"/>
  <c r="I14" i="4"/>
  <c r="K11" i="4"/>
  <c r="K9" i="4"/>
  <c r="B5" i="7"/>
  <c r="F26" i="1"/>
  <c r="B8" i="1"/>
  <c r="L8" i="4"/>
  <c r="L9" i="4" s="1"/>
  <c r="K77" i="5"/>
  <c r="K68" i="5"/>
  <c r="I91" i="5"/>
  <c r="K9" i="6"/>
  <c r="I15" i="6"/>
  <c r="I20" i="6" s="1"/>
  <c r="K8" i="6"/>
  <c r="J12" i="6"/>
  <c r="J15" i="6" s="1"/>
  <c r="J20" i="6" s="1"/>
  <c r="J88" i="5"/>
  <c r="F49" i="2"/>
  <c r="L38" i="5" s="1"/>
  <c r="L41" i="5" s="1"/>
  <c r="K38" i="5"/>
  <c r="K41" i="5" s="1"/>
  <c r="L11" i="6"/>
  <c r="L10" i="6"/>
  <c r="L5" i="7"/>
  <c r="K5" i="7"/>
  <c r="H8" i="8"/>
  <c r="J5" i="7"/>
  <c r="F17" i="7"/>
  <c r="L6" i="6"/>
  <c r="L7" i="6"/>
  <c r="L60" i="5"/>
  <c r="I6" i="8"/>
  <c r="E17" i="7" l="1"/>
  <c r="N13" i="7"/>
  <c r="L14" i="4"/>
  <c r="L6" i="5"/>
  <c r="K14" i="4"/>
  <c r="K6" i="5"/>
  <c r="J6" i="5"/>
  <c r="J14" i="4"/>
  <c r="L13" i="7"/>
  <c r="D17" i="7"/>
  <c r="C17" i="7"/>
  <c r="M13" i="7"/>
  <c r="N5" i="7"/>
  <c r="B17" i="7"/>
  <c r="K13" i="7"/>
  <c r="M5" i="7"/>
  <c r="J13" i="7"/>
  <c r="L68" i="5"/>
  <c r="L77" i="5"/>
  <c r="J21" i="6"/>
  <c r="J28" i="6" s="1"/>
  <c r="J35" i="6" s="1"/>
  <c r="F28" i="1" s="1"/>
  <c r="J91" i="5"/>
  <c r="J6" i="8"/>
  <c r="J74" i="5"/>
  <c r="I21" i="6"/>
  <c r="I28" i="6" s="1"/>
  <c r="I35" i="6" s="1"/>
  <c r="F27" i="1" s="1"/>
  <c r="L8" i="6"/>
  <c r="L9" i="6"/>
  <c r="K12" i="6"/>
  <c r="K15" i="6" s="1"/>
  <c r="K20" i="6" s="1"/>
  <c r="K74" i="5"/>
  <c r="K88" i="5"/>
  <c r="K21" i="6" l="1"/>
  <c r="K28" i="6" s="1"/>
  <c r="K35" i="6" s="1"/>
  <c r="F29" i="1" s="1"/>
  <c r="K91" i="5"/>
  <c r="K6" i="8"/>
  <c r="L12" i="6"/>
  <c r="L88" i="5"/>
  <c r="L91" i="5" s="1"/>
  <c r="L74" i="5"/>
  <c r="L15" i="6" l="1"/>
  <c r="L20" i="6" s="1"/>
  <c r="L6" i="8"/>
  <c r="L21" i="6" l="1"/>
  <c r="L28" i="6" s="1"/>
  <c r="L35" i="6" s="1"/>
  <c r="F30" i="1" l="1"/>
  <c r="C8" i="1"/>
  <c r="D8" i="1" s="1"/>
  <c r="H12" i="5"/>
  <c r="H15" i="4"/>
  <c r="H51" i="5" l="1"/>
  <c r="B26" i="1"/>
  <c r="I15" i="4"/>
  <c r="I18" i="4"/>
  <c r="H35" i="5"/>
  <c r="I12" i="5"/>
  <c r="H17" i="5"/>
  <c r="H7" i="5"/>
  <c r="J15" i="4"/>
  <c r="H11" i="5"/>
  <c r="H52" i="5"/>
  <c r="B5" i="1"/>
  <c r="H8" i="5"/>
  <c r="I7" i="5" l="1"/>
  <c r="I51" i="5"/>
  <c r="H9" i="5"/>
  <c r="H10" i="5" s="1"/>
  <c r="H75" i="5"/>
  <c r="H32" i="5"/>
  <c r="H79" i="5"/>
  <c r="H9" i="8"/>
  <c r="I11" i="5"/>
  <c r="I17" i="5"/>
  <c r="I52" i="5"/>
  <c r="B27" i="1"/>
  <c r="I8" i="5"/>
  <c r="I75" i="5" s="1"/>
  <c r="J22" i="5" s="1"/>
  <c r="J12" i="5"/>
  <c r="J18" i="4"/>
  <c r="H22" i="4"/>
  <c r="K18" i="4"/>
  <c r="B12" i="7"/>
  <c r="H37" i="5"/>
  <c r="I35" i="5"/>
  <c r="I9" i="8" s="1"/>
  <c r="K15" i="4"/>
  <c r="I18" i="6"/>
  <c r="I22" i="5" l="1"/>
  <c r="I25" i="5" s="1"/>
  <c r="H90" i="5"/>
  <c r="H33" i="5" s="1"/>
  <c r="J51" i="5"/>
  <c r="B11" i="7"/>
  <c r="H47" i="5"/>
  <c r="H46" i="5"/>
  <c r="I15" i="5"/>
  <c r="H15" i="5"/>
  <c r="H16" i="5" s="1"/>
  <c r="I79" i="5"/>
  <c r="I90" i="5" s="1"/>
  <c r="I32" i="5"/>
  <c r="J18" i="6"/>
  <c r="L18" i="4"/>
  <c r="I9" i="5"/>
  <c r="I10" i="5" s="1"/>
  <c r="J11" i="5"/>
  <c r="B28" i="1"/>
  <c r="J8" i="5"/>
  <c r="J75" i="5" s="1"/>
  <c r="K22" i="5" s="1"/>
  <c r="J35" i="5"/>
  <c r="J9" i="8" s="1"/>
  <c r="J52" i="5"/>
  <c r="J7" i="5"/>
  <c r="K12" i="5"/>
  <c r="J17" i="5"/>
  <c r="C12" i="7"/>
  <c r="I22" i="4"/>
  <c r="I37" i="5"/>
  <c r="L15" i="4"/>
  <c r="L12" i="5"/>
  <c r="I17" i="6"/>
  <c r="H50" i="5" l="1"/>
  <c r="L51" i="5"/>
  <c r="B29" i="1"/>
  <c r="K51" i="5"/>
  <c r="H25" i="6"/>
  <c r="H18" i="5"/>
  <c r="K18" i="6"/>
  <c r="K17" i="6" s="1"/>
  <c r="K25" i="5"/>
  <c r="J17" i="6"/>
  <c r="J25" i="5"/>
  <c r="C11" i="7"/>
  <c r="I46" i="5"/>
  <c r="I47" i="5"/>
  <c r="C26" i="1"/>
  <c r="B6" i="1"/>
  <c r="H20" i="4"/>
  <c r="J15" i="5"/>
  <c r="J16" i="5" s="1"/>
  <c r="J79" i="5"/>
  <c r="J90" i="5" s="1"/>
  <c r="J32" i="5"/>
  <c r="D11" i="7" s="1"/>
  <c r="I25" i="6"/>
  <c r="I16" i="5"/>
  <c r="I20" i="4"/>
  <c r="C27" i="1"/>
  <c r="I18" i="5"/>
  <c r="K17" i="5"/>
  <c r="K8" i="5"/>
  <c r="J37" i="5"/>
  <c r="D12" i="7"/>
  <c r="J22" i="4"/>
  <c r="K35" i="5"/>
  <c r="E12" i="7" s="1"/>
  <c r="K7" i="5"/>
  <c r="K11" i="5"/>
  <c r="J9" i="5"/>
  <c r="J10" i="5" s="1"/>
  <c r="K52" i="5"/>
  <c r="L11" i="5"/>
  <c r="C5" i="1"/>
  <c r="D5" i="1" s="1"/>
  <c r="B30" i="1"/>
  <c r="L35" i="5"/>
  <c r="L52" i="5"/>
  <c r="L8" i="5"/>
  <c r="L17" i="5"/>
  <c r="L7" i="5"/>
  <c r="I50" i="5" l="1"/>
  <c r="H26" i="5"/>
  <c r="H27" i="5" s="1"/>
  <c r="H28" i="5" s="1"/>
  <c r="B8" i="7"/>
  <c r="B9" i="7" s="1"/>
  <c r="B10" i="7" s="1"/>
  <c r="K9" i="5"/>
  <c r="K10" i="5" s="1"/>
  <c r="K75" i="5"/>
  <c r="L9" i="5"/>
  <c r="L10" i="5" s="1"/>
  <c r="L75" i="5"/>
  <c r="H19" i="5"/>
  <c r="H21" i="4"/>
  <c r="L15" i="5"/>
  <c r="J47" i="5"/>
  <c r="J46" i="5"/>
  <c r="K32" i="5"/>
  <c r="E11" i="7" s="1"/>
  <c r="K15" i="5"/>
  <c r="K25" i="6" s="1"/>
  <c r="L32" i="5"/>
  <c r="F11" i="7" s="1"/>
  <c r="B31" i="7" s="1"/>
  <c r="B32" i="7" s="1"/>
  <c r="H10" i="8" s="1"/>
  <c r="K79" i="5"/>
  <c r="J18" i="5"/>
  <c r="J21" i="4" s="1"/>
  <c r="J20" i="4"/>
  <c r="J25" i="6"/>
  <c r="C28" i="1"/>
  <c r="I19" i="5"/>
  <c r="D27" i="1" s="1"/>
  <c r="I21" i="4"/>
  <c r="C8" i="7"/>
  <c r="C9" i="7" s="1"/>
  <c r="C10" i="7" s="1"/>
  <c r="K9" i="8"/>
  <c r="K22" i="4"/>
  <c r="K37" i="5"/>
  <c r="L37" i="5"/>
  <c r="F12" i="7"/>
  <c r="L9" i="8"/>
  <c r="L22" i="4"/>
  <c r="K90" i="5" l="1"/>
  <c r="L22" i="5"/>
  <c r="L25" i="5" s="1"/>
  <c r="L18" i="6"/>
  <c r="L17" i="6" s="1"/>
  <c r="K47" i="5"/>
  <c r="L47" i="5" s="1"/>
  <c r="B7" i="1"/>
  <c r="D26" i="1"/>
  <c r="L79" i="5"/>
  <c r="L90" i="5" s="1"/>
  <c r="J50" i="5"/>
  <c r="K46" i="5"/>
  <c r="C6" i="1"/>
  <c r="D6" i="1" s="1"/>
  <c r="L25" i="6"/>
  <c r="L18" i="5"/>
  <c r="C30" i="1"/>
  <c r="L20" i="4"/>
  <c r="L16" i="5"/>
  <c r="K16" i="5"/>
  <c r="K20" i="4"/>
  <c r="K18" i="5"/>
  <c r="C29" i="1"/>
  <c r="J19" i="5"/>
  <c r="D28" i="1" s="1"/>
  <c r="D8" i="7"/>
  <c r="D9" i="7" s="1"/>
  <c r="D10" i="7" s="1"/>
  <c r="H62" i="5"/>
  <c r="H31" i="5"/>
  <c r="H29" i="5"/>
  <c r="K50" i="5" l="1"/>
  <c r="L46" i="5"/>
  <c r="L50" i="5" s="1"/>
  <c r="K19" i="5"/>
  <c r="D29" i="1" s="1"/>
  <c r="K21" i="4"/>
  <c r="E8" i="7"/>
  <c r="E9" i="7" s="1"/>
  <c r="E10" i="7" s="1"/>
  <c r="L19" i="5"/>
  <c r="L21" i="4"/>
  <c r="F8" i="7"/>
  <c r="F9" i="7" s="1"/>
  <c r="F10" i="7" s="1"/>
  <c r="H65" i="5"/>
  <c r="C7" i="1" l="1"/>
  <c r="D7" i="1" s="1"/>
  <c r="D30" i="1"/>
  <c r="B30" i="7"/>
  <c r="F42" i="5" l="1"/>
  <c r="F87" i="5" s="1"/>
  <c r="F5" i="8" s="1"/>
  <c r="D42" i="5"/>
  <c r="D87" i="5" s="1"/>
  <c r="D5" i="8" s="1"/>
  <c r="H34" i="5" l="1"/>
  <c r="H42" i="5" s="1"/>
  <c r="H44" i="5" s="1"/>
  <c r="H56" i="5" s="1"/>
  <c r="H13" i="6" s="1"/>
  <c r="J23" i="4"/>
  <c r="L33" i="5"/>
  <c r="B13" i="7"/>
  <c r="B14" i="7" s="1"/>
  <c r="D13" i="7"/>
  <c r="D14" i="7" s="1"/>
  <c r="D18" i="7" s="1"/>
  <c r="K33" i="5"/>
  <c r="H23" i="4"/>
  <c r="K23" i="4"/>
  <c r="F13" i="7"/>
  <c r="C13" i="7"/>
  <c r="C14" i="7" s="1"/>
  <c r="J33" i="5"/>
  <c r="I23" i="4"/>
  <c r="I33" i="5"/>
  <c r="E13" i="7"/>
  <c r="E14" i="7" s="1"/>
  <c r="L23" i="4"/>
  <c r="I43" i="5" l="1"/>
  <c r="H87" i="5"/>
  <c r="H5" i="8" s="1"/>
  <c r="I20" i="5"/>
  <c r="I26" i="5" s="1"/>
  <c r="I27" i="5" s="1"/>
  <c r="I28" i="5" s="1"/>
  <c r="H89" i="5"/>
  <c r="B9" i="1" s="1"/>
  <c r="H57" i="5"/>
  <c r="H58" i="5" s="1"/>
  <c r="H82" i="5" s="1"/>
  <c r="H83" i="5" s="1"/>
  <c r="H84" i="5" s="1"/>
  <c r="H85" i="5" s="1"/>
  <c r="H86" i="5" s="1"/>
  <c r="H4" i="8" s="1"/>
  <c r="B33" i="7"/>
  <c r="B34" i="7" s="1"/>
  <c r="F14" i="7"/>
  <c r="E29" i="1"/>
  <c r="E18" i="7"/>
  <c r="M10" i="7"/>
  <c r="J18" i="7"/>
  <c r="L6" i="7"/>
  <c r="J8" i="7"/>
  <c r="N6" i="7"/>
  <c r="N7" i="7"/>
  <c r="L17" i="7"/>
  <c r="M8" i="7"/>
  <c r="K18" i="7"/>
  <c r="N10" i="7"/>
  <c r="J6" i="7"/>
  <c r="J15" i="7"/>
  <c r="M16" i="7"/>
  <c r="M14" i="7"/>
  <c r="L8" i="7"/>
  <c r="J7" i="7"/>
  <c r="L7" i="7"/>
  <c r="M6" i="7"/>
  <c r="B18" i="7"/>
  <c r="K7" i="7"/>
  <c r="E26" i="1"/>
  <c r="L9" i="7"/>
  <c r="E28" i="1"/>
  <c r="L16" i="7"/>
  <c r="C18" i="7"/>
  <c r="E27" i="1"/>
  <c r="H14" i="6"/>
  <c r="H26" i="6" s="1"/>
  <c r="H7" i="8"/>
  <c r="L10" i="7" l="1"/>
  <c r="N14" i="7"/>
  <c r="G19" i="7"/>
  <c r="G20" i="7" s="1"/>
  <c r="F18" i="7"/>
  <c r="B22" i="7" s="1"/>
  <c r="B24" i="7" s="1"/>
  <c r="B26" i="7" s="1"/>
  <c r="M9" i="7"/>
  <c r="N9" i="7"/>
  <c r="K8" i="7"/>
  <c r="L14" i="7"/>
  <c r="K14" i="7"/>
  <c r="J16" i="7"/>
  <c r="M15" i="7"/>
  <c r="J9" i="7"/>
  <c r="J10" i="7"/>
  <c r="N15" i="7"/>
  <c r="N17" i="7"/>
  <c r="K6" i="7"/>
  <c r="M17" i="7"/>
  <c r="M7" i="7"/>
  <c r="N18" i="7"/>
  <c r="K10" i="7"/>
  <c r="B35" i="7"/>
  <c r="B36" i="7" s="1"/>
  <c r="B37" i="7" s="1"/>
  <c r="B38" i="7" s="1"/>
  <c r="J14" i="7"/>
  <c r="L18" i="7"/>
  <c r="L15" i="7"/>
  <c r="K17" i="7"/>
  <c r="K9" i="7"/>
  <c r="N16" i="7"/>
  <c r="M18" i="7"/>
  <c r="K16" i="7"/>
  <c r="J17" i="7"/>
  <c r="I31" i="5"/>
  <c r="I34" i="5" s="1"/>
  <c r="I42" i="5" s="1"/>
  <c r="I44" i="5" s="1"/>
  <c r="I29" i="5"/>
  <c r="I62" i="5"/>
  <c r="I65" i="5" s="1"/>
  <c r="E30" i="1"/>
  <c r="K15" i="7"/>
  <c r="N8" i="7"/>
  <c r="H23" i="6"/>
  <c r="I87" i="5" l="1"/>
  <c r="I5" i="8" s="1"/>
  <c r="J43" i="5"/>
  <c r="J20" i="5"/>
  <c r="J26" i="5" s="1"/>
  <c r="J27" i="5" s="1"/>
  <c r="J28" i="5" s="1"/>
  <c r="I56" i="5"/>
  <c r="I89" i="5" s="1"/>
  <c r="G6" i="1"/>
  <c r="B39" i="7"/>
  <c r="G9" i="1" s="1"/>
  <c r="G5" i="1"/>
  <c r="B28" i="7"/>
  <c r="G8" i="1" s="1"/>
  <c r="I13" i="6" l="1"/>
  <c r="I57" i="5"/>
  <c r="I58" i="5" s="1"/>
  <c r="I82" i="5" s="1"/>
  <c r="I83" i="5" s="1"/>
  <c r="I84" i="5" s="1"/>
  <c r="I85" i="5" s="1"/>
  <c r="I86" i="5" s="1"/>
  <c r="I4" i="8" s="1"/>
  <c r="J62" i="5"/>
  <c r="J31" i="5"/>
  <c r="J34" i="5" s="1"/>
  <c r="J42" i="5" s="1"/>
  <c r="J44" i="5" s="1"/>
  <c r="J29" i="5"/>
  <c r="I7" i="8" l="1"/>
  <c r="I14" i="6"/>
  <c r="J65" i="5"/>
  <c r="K43" i="5"/>
  <c r="J56" i="5"/>
  <c r="J87" i="5"/>
  <c r="J5" i="8" s="1"/>
  <c r="K20" i="5"/>
  <c r="K26" i="5" s="1"/>
  <c r="I23" i="6" l="1"/>
  <c r="I26" i="6"/>
  <c r="J13" i="6"/>
  <c r="J57" i="5"/>
  <c r="J58" i="5" s="1"/>
  <c r="J89" i="5"/>
  <c r="K27" i="5"/>
  <c r="K28" i="5" s="1"/>
  <c r="J7" i="8" l="1"/>
  <c r="J14" i="6"/>
  <c r="J26" i="6" s="1"/>
  <c r="J82" i="5"/>
  <c r="J83" i="5" s="1"/>
  <c r="J84" i="5" s="1"/>
  <c r="J85" i="5" s="1"/>
  <c r="J86" i="5" s="1"/>
  <c r="J4" i="8" s="1"/>
  <c r="K62" i="5"/>
  <c r="K31" i="5"/>
  <c r="K34" i="5" s="1"/>
  <c r="K42" i="5" s="1"/>
  <c r="K44" i="5" s="1"/>
  <c r="K29" i="5"/>
  <c r="J23" i="6" l="1"/>
  <c r="K65" i="5"/>
  <c r="L43" i="5"/>
  <c r="K56" i="5"/>
  <c r="L20" i="5"/>
  <c r="L26" i="5" s="1"/>
  <c r="K87" i="5"/>
  <c r="K5" i="8" s="1"/>
  <c r="K13" i="6" l="1"/>
  <c r="K57" i="5"/>
  <c r="K58" i="5" s="1"/>
  <c r="K89" i="5"/>
  <c r="L27" i="5"/>
  <c r="L28" i="5" s="1"/>
  <c r="K7" i="8" l="1"/>
  <c r="K14" i="6"/>
  <c r="K26" i="6" s="1"/>
  <c r="K82" i="5"/>
  <c r="K83" i="5" s="1"/>
  <c r="K84" i="5" s="1"/>
  <c r="K85" i="5" s="1"/>
  <c r="K86" i="5" s="1"/>
  <c r="K4" i="8" s="1"/>
  <c r="L62" i="5"/>
  <c r="L65" i="5" s="1"/>
  <c r="L31" i="5"/>
  <c r="L34" i="5" s="1"/>
  <c r="L42" i="5" s="1"/>
  <c r="L44" i="5" s="1"/>
  <c r="L29" i="5"/>
  <c r="K23" i="6" l="1"/>
  <c r="L56" i="5"/>
  <c r="L87" i="5"/>
  <c r="L5" i="8" s="1"/>
  <c r="L57" i="5" l="1"/>
  <c r="L58" i="5" s="1"/>
  <c r="L13" i="6"/>
  <c r="L89" i="5"/>
  <c r="C9" i="1" s="1"/>
  <c r="D9" i="1" s="1"/>
  <c r="L82" i="5" l="1"/>
  <c r="L83" i="5" s="1"/>
  <c r="L84" i="5" s="1"/>
  <c r="L85" i="5" s="1"/>
  <c r="L86" i="5" s="1"/>
  <c r="L4" i="8" s="1"/>
  <c r="L14" i="6"/>
  <c r="L26" i="6" s="1"/>
  <c r="L7" i="8"/>
  <c r="L23" i="6" l="1"/>
</calcChain>
</file>

<file path=xl/sharedStrings.xml><?xml version="1.0" encoding="utf-8"?>
<sst xmlns="http://schemas.openxmlformats.org/spreadsheetml/2006/main" count="485" uniqueCount="293">
  <si>
    <t>DINO DCF Dashboard</t>
  </si>
  <si>
    <t>Project summary</t>
  </si>
  <si>
    <t>Key results</t>
  </si>
  <si>
    <t>Metric</t>
  </si>
  <si>
    <t>2026E</t>
  </si>
  <si>
    <t>2030E</t>
  </si>
  <si>
    <t>CAGR / Δ</t>
  </si>
  <si>
    <t>Value</t>
  </si>
  <si>
    <t>Scenario</t>
  </si>
  <si>
    <t>Revenue from sales (PLN thousand)</t>
  </si>
  <si>
    <t>Implied share price</t>
  </si>
  <si>
    <t>Scenario 1</t>
  </si>
  <si>
    <t>EBITDA (PLN thousand)</t>
  </si>
  <si>
    <t>Scenario 2</t>
  </si>
  <si>
    <t>EBIT margin</t>
  </si>
  <si>
    <t>Current share price</t>
  </si>
  <si>
    <t>WACC</t>
  </si>
  <si>
    <t>Premium / (discount)</t>
  </si>
  <si>
    <t>Net debt / (net cash)</t>
  </si>
  <si>
    <t>Forecast assumptions</t>
  </si>
  <si>
    <t>2027E</t>
  </si>
  <si>
    <t>2028E</t>
  </si>
  <si>
    <t>2029E</t>
  </si>
  <si>
    <t>LFL revenue growth</t>
  </si>
  <si>
    <t>General inflation</t>
  </si>
  <si>
    <t>Gross margin</t>
  </si>
  <si>
    <t>Capital expenditures % of sales</t>
  </si>
  <si>
    <t>Target equity weight</t>
  </si>
  <si>
    <t>Target debt weight</t>
  </si>
  <si>
    <t>Historical / forecast summary</t>
  </si>
  <si>
    <t>Year</t>
  </si>
  <si>
    <t>Revenue from sales</t>
  </si>
  <si>
    <t>EBITDA</t>
  </si>
  <si>
    <t>UFCF</t>
  </si>
  <si>
    <t>Assumptions</t>
  </si>
  <si>
    <t>Static valuation / model assumptions</t>
  </si>
  <si>
    <t>Source/notes</t>
  </si>
  <si>
    <t>EV/EBITDA multiple</t>
  </si>
  <si>
    <t>Risk-free rate</t>
  </si>
  <si>
    <t>Polish 10-year benchmark in 2026; forward-looking WACC assumption, rate as of 23 May 2026</t>
  </si>
  <si>
    <t>Beta</t>
  </si>
  <si>
    <t>Blume-adjusted equity beta assumption</t>
  </si>
  <si>
    <t>Equity risk premium</t>
  </si>
  <si>
    <t>Market risk premium assumption</t>
  </si>
  <si>
    <t>Terminal growth rate</t>
  </si>
  <si>
    <t>Current share price (PLN)</t>
  </si>
  <si>
    <t>Price as of 2 Jan 2026</t>
  </si>
  <si>
    <t>Number of shares (thousand)</t>
  </si>
  <si>
    <t>Linked to the number of shares in 2025; 2020-2024 were 1/10 of 2025</t>
  </si>
  <si>
    <t>Days in year</t>
  </si>
  <si>
    <t>Used for working capital days</t>
  </si>
  <si>
    <t>Unit divisor</t>
  </si>
  <si>
    <t>Used for unit conversion</t>
  </si>
  <si>
    <t>Minimum cash level % of sales</t>
  </si>
  <si>
    <t>Interest income rate on average cash</t>
  </si>
  <si>
    <t>Statutory tax rate</t>
  </si>
  <si>
    <t>&lt;1 Year store productivity (% of mature store productivity)</t>
  </si>
  <si>
    <t>1-2 Years store productivity (% of mature store productivity)</t>
  </si>
  <si>
    <t>Historical market assumptions</t>
  </si>
  <si>
    <t>2020A</t>
  </si>
  <si>
    <t>2021A</t>
  </si>
  <si>
    <t>2022A</t>
  </si>
  <si>
    <t>2023A</t>
  </si>
  <si>
    <t>2024A</t>
  </si>
  <si>
    <t>2025A</t>
  </si>
  <si>
    <t>Source / notes</t>
  </si>
  <si>
    <t>DINO market price / share (PLN)</t>
  </si>
  <si>
    <t>Market capitalisation (PLN thousand)</t>
  </si>
  <si>
    <t>Operating forecast assumptions</t>
  </si>
  <si>
    <t>Growth in number of stores</t>
  </si>
  <si>
    <t>Other operating income % of sales</t>
  </si>
  <si>
    <t>Depreciation and amortisation % of sales</t>
  </si>
  <si>
    <t>Selling and marketing expenses</t>
  </si>
  <si>
    <t>Inventory days</t>
  </si>
  <si>
    <t>Receivables days</t>
  </si>
  <si>
    <t>Payables days</t>
  </si>
  <si>
    <t>Non-current asset allocation assumptions</t>
  </si>
  <si>
    <t>Allocation of capital expenditures to PPE / ROU</t>
  </si>
  <si>
    <t>Allocation of capital expenditures to intangible assets</t>
  </si>
  <si>
    <t>Allocation of PPE / ROU depreciation</t>
  </si>
  <si>
    <t>Allocation of amortisation of intangible assets</t>
  </si>
  <si>
    <t>Debt / financing assumptions</t>
  </si>
  <si>
    <t>Net change in bank loans</t>
  </si>
  <si>
    <t>Current bank loans % of total</t>
  </si>
  <si>
    <t>Net change in lease liabilities</t>
  </si>
  <si>
    <t>Current lease liabilities % of total</t>
  </si>
  <si>
    <t>Net change in bonds</t>
  </si>
  <si>
    <t>Dino repays its entire non-current bond debt in 2026</t>
  </si>
  <si>
    <t>Current bonds % of total</t>
  </si>
  <si>
    <t>Pre-tax cost of interest-bearing debt</t>
  </si>
  <si>
    <t>Interest rate on trade payables</t>
  </si>
  <si>
    <t>Interest rate on other liabilities</t>
  </si>
  <si>
    <t>Other finance costs / (income)</t>
  </si>
  <si>
    <t>Other financing / balancing item</t>
  </si>
  <si>
    <t>Dividends / distributions</t>
  </si>
  <si>
    <t>Other investing activities</t>
  </si>
  <si>
    <t>Source Data</t>
  </si>
  <si>
    <t>Historical statement of profit or loss</t>
  </si>
  <si>
    <t>Line item</t>
  </si>
  <si>
    <t>Cost of sales</t>
  </si>
  <si>
    <t>Gross profit on sales</t>
  </si>
  <si>
    <t>Other operating income</t>
  </si>
  <si>
    <t>General and administrative expenses</t>
  </si>
  <si>
    <t>Other operating expenses</t>
  </si>
  <si>
    <t>Operating profit</t>
  </si>
  <si>
    <t>Finance income</t>
  </si>
  <si>
    <t>Interest expense - debt / leases / bonds</t>
  </si>
  <si>
    <t>Interest expense - trade payables</t>
  </si>
  <si>
    <t>Interest expense - other liabilities</t>
  </si>
  <si>
    <t>Finance costs</t>
  </si>
  <si>
    <t>Profit before tax</t>
  </si>
  <si>
    <t>Income tax</t>
  </si>
  <si>
    <t>Net profit</t>
  </si>
  <si>
    <t>Profit attributable to owners of the parent</t>
  </si>
  <si>
    <t>Profit attributable to non-controlling interests</t>
  </si>
  <si>
    <t>Historical statement of financial position</t>
  </si>
  <si>
    <t>Property, plant and equipment</t>
  </si>
  <si>
    <t>Right-of-use assets</t>
  </si>
  <si>
    <t>Intangible assets</t>
  </si>
  <si>
    <t>Other non-financial assets (non-current)</t>
  </si>
  <si>
    <t>Deferred tax assets</t>
  </si>
  <si>
    <t>Total non-current assets</t>
  </si>
  <si>
    <t>Inventories</t>
  </si>
  <si>
    <t>Trade and other receivables</t>
  </si>
  <si>
    <t>Income tax receivables</t>
  </si>
  <si>
    <t>Other non-financial assets (current)</t>
  </si>
  <si>
    <t>Other financial assets</t>
  </si>
  <si>
    <t>Cash and cash equivalents</t>
  </si>
  <si>
    <t>Total current assets</t>
  </si>
  <si>
    <t>TOTAL ASSETS</t>
  </si>
  <si>
    <t>Equity attributable to owners of the parent</t>
  </si>
  <si>
    <t>Share capital</t>
  </si>
  <si>
    <t>Supplementary capital</t>
  </si>
  <si>
    <t>Retained earnings</t>
  </si>
  <si>
    <t>Other equity</t>
  </si>
  <si>
    <t>Non-controlling interests</t>
  </si>
  <si>
    <t>Total equity</t>
  </si>
  <si>
    <t>Bank loans (non-current)</t>
  </si>
  <si>
    <t>Lease liabilities (non-current)</t>
  </si>
  <si>
    <t>Liabilities from issued bonds (non-current)</t>
  </si>
  <si>
    <t>Liabilities for acquisition of non-controlling interests (non-current)</t>
  </si>
  <si>
    <t>Other liabilities (non-current)</t>
  </si>
  <si>
    <t>Employee benefit liabilities (non-current)</t>
  </si>
  <si>
    <t>Deferred tax liability (non-current)</t>
  </si>
  <si>
    <t>Accruals and deferred income (non-current)</t>
  </si>
  <si>
    <t>Total non-current liabilities</t>
  </si>
  <si>
    <t>Trade and other payables</t>
  </si>
  <si>
    <t>Bank loans (current)</t>
  </si>
  <si>
    <t>Lease liabilities (current)</t>
  </si>
  <si>
    <t>Liabilities from issued bonds (current)</t>
  </si>
  <si>
    <t>Employee benefit liabilities (current)</t>
  </si>
  <si>
    <t>Income tax liabilities</t>
  </si>
  <si>
    <t>Deferred income (current)</t>
  </si>
  <si>
    <t>Total current liabilities</t>
  </si>
  <si>
    <t>Total liabilities</t>
  </si>
  <si>
    <t>TOTAL EQUITY AND LIABILITIES</t>
  </si>
  <si>
    <t>Historical statement of cash flows</t>
  </si>
  <si>
    <t>Depreciation and amortisation</t>
  </si>
  <si>
    <t>Income tax paid</t>
  </si>
  <si>
    <t>Interest expense</t>
  </si>
  <si>
    <t>Change in receivables</t>
  </si>
  <si>
    <t>Change in inventories</t>
  </si>
  <si>
    <t>Change in liabilities excluding borrowings and loans</t>
  </si>
  <si>
    <t>Other</t>
  </si>
  <si>
    <t>Net cash from operating activities</t>
  </si>
  <si>
    <t>Sale of property, plant and equipment and intangible assets</t>
  </si>
  <si>
    <t>Acquisition of property, plant and equipment and intangible assets</t>
  </si>
  <si>
    <t>Expenditure on acquisition of subsidiaries less cash of acquired entities</t>
  </si>
  <si>
    <t>Interest received</t>
  </si>
  <si>
    <t>Repayment of loans granted</t>
  </si>
  <si>
    <t>Loans granted</t>
  </si>
  <si>
    <t>Net cash from investing activities</t>
  </si>
  <si>
    <t>Payments of lease liabilities</t>
  </si>
  <si>
    <t>Proceeds from bank loans</t>
  </si>
  <si>
    <t>Repayment of bank loans</t>
  </si>
  <si>
    <t>Issuance of debt securities</t>
  </si>
  <si>
    <t>Redemption of bonds</t>
  </si>
  <si>
    <t>Interest paid</t>
  </si>
  <si>
    <t>Net cash from financing activities</t>
  </si>
  <si>
    <t>Net increase in cash</t>
  </si>
  <si>
    <t>Cash at beginning of period</t>
  </si>
  <si>
    <t>Cash at end of period</t>
  </si>
  <si>
    <t>Historical operating metrics</t>
  </si>
  <si>
    <t>Number of stores (#)</t>
  </si>
  <si>
    <t>Sales area (thousand m²)</t>
  </si>
  <si>
    <t>Average sales area / store (m²)</t>
  </si>
  <si>
    <t>Inflation / deflation (%)</t>
  </si>
  <si>
    <t>Dino LFL (%)</t>
  </si>
  <si>
    <t>Historical market data</t>
  </si>
  <si>
    <t>Operating drivers / revenue build</t>
  </si>
  <si>
    <t>Formula-driven operating bridge. Forecast revenue is driven by LFL growth; store metrics are operating KPIs.</t>
  </si>
  <si>
    <t>Period</t>
  </si>
  <si>
    <t>Store count bridge and revenue build</t>
  </si>
  <si>
    <t>Sales area growth</t>
  </si>
  <si>
    <t>&lt;1 Year stores (#)</t>
  </si>
  <si>
    <t>1-2 Year stores (#)</t>
  </si>
  <si>
    <t>Mature Stores</t>
  </si>
  <si>
    <t>Revenue / store (PLN thousand)</t>
  </si>
  <si>
    <t>Revenue / store growth</t>
  </si>
  <si>
    <t>Revenue per mature store</t>
  </si>
  <si>
    <t>Revenue growth</t>
  </si>
  <si>
    <t>EBITDA margin</t>
  </si>
  <si>
    <t>Operating net working capital % of sales</t>
  </si>
  <si>
    <t>Integrated three-statement model</t>
  </si>
  <si>
    <t>All non-input cells are formula-driven from the Source Data and Assumptions sheets. Hardcoded values are isolated exclusively in the Source Data and Assumptions sheets.</t>
  </si>
  <si>
    <t>Statement of profit or loss</t>
  </si>
  <si>
    <t>Gross profit</t>
  </si>
  <si>
    <t>Depreciation and amortisation expense</t>
  </si>
  <si>
    <t>EBIT</t>
  </si>
  <si>
    <t>Total finance costs</t>
  </si>
  <si>
    <t>Net margin</t>
  </si>
  <si>
    <t>Statement of cash flows</t>
  </si>
  <si>
    <t>Adjustment for depreciation and amortisation</t>
  </si>
  <si>
    <t>Change in net working capital and other operating items</t>
  </si>
  <si>
    <t>Cash flows from operating activities</t>
  </si>
  <si>
    <t>Capital expenditures</t>
  </si>
  <si>
    <t>Cash flows from investing activities</t>
  </si>
  <si>
    <t>Net change in debt / leases / bonds</t>
  </si>
  <si>
    <t>Cash flows from financing activities</t>
  </si>
  <si>
    <t>Net increase / (decrease) in cash</t>
  </si>
  <si>
    <t>Statement of financial position</t>
  </si>
  <si>
    <t>PPE and ROU assets</t>
  </si>
  <si>
    <t>Other non-current assets</t>
  </si>
  <si>
    <t>Other current assets</t>
  </si>
  <si>
    <t>Total assets</t>
  </si>
  <si>
    <t>Equity</t>
  </si>
  <si>
    <t>Liabilities</t>
  </si>
  <si>
    <t>Bonds (non-current)</t>
  </si>
  <si>
    <t>Employee benefits (non-current)</t>
  </si>
  <si>
    <t>Deferred tax liability</t>
  </si>
  <si>
    <t>Employee benefits (current)</t>
  </si>
  <si>
    <t>Other current liabilities / (assets), net</t>
  </si>
  <si>
    <t>Total equity and liabilities</t>
  </si>
  <si>
    <t>Statement of financial position check</t>
  </si>
  <si>
    <t>Cash flow check</t>
  </si>
  <si>
    <t>Total interest-bearing debt</t>
  </si>
  <si>
    <t>Net debt</t>
  </si>
  <si>
    <t>Operating net working capital</t>
  </si>
  <si>
    <t>Average total interest-bearing debt</t>
  </si>
  <si>
    <t>Debt and WACC schedule</t>
  </si>
  <si>
    <t>Forecast WACC uses an explicitly stated target capital structure. Market capitalisation is shown for reference only and does not affect WACC weights.</t>
  </si>
  <si>
    <t>Debt schedule</t>
  </si>
  <si>
    <t>Bonds (current)</t>
  </si>
  <si>
    <t>Average total debt</t>
  </si>
  <si>
    <t>Breakdown of interest on liabilities</t>
  </si>
  <si>
    <t>Total finance interest expense</t>
  </si>
  <si>
    <t>Interest expense - other</t>
  </si>
  <si>
    <t>Pre-tax cost of debt</t>
  </si>
  <si>
    <t>WACC calculation</t>
  </si>
  <si>
    <t>Reference market price / share (PLN)</t>
  </si>
  <si>
    <t>Reference market capitalisation</t>
  </si>
  <si>
    <t>Enterprise value</t>
  </si>
  <si>
    <t>Tax rate</t>
  </si>
  <si>
    <t>After-tax cost of debt</t>
  </si>
  <si>
    <t>Cost of equity</t>
  </si>
  <si>
    <t>Target equity weight / actual equity weight</t>
  </si>
  <si>
    <t>Target debt weight / actual debt weight</t>
  </si>
  <si>
    <t>DCF Valuation</t>
  </si>
  <si>
    <t>Sensitivity analysis — implied value / share (PLN)</t>
  </si>
  <si>
    <t>Nominal unlevered DCF with two capital expenditure scenarios. Scenario 1 assumes continued growth in capital expenditures; Scenario 2 assumes that capital expenditures in the terminal year equal depreciation and amortisation.</t>
  </si>
  <si>
    <t>Rows = terminal growth; columns = WACC. Formulas reference the existing DCF and do not change model assumptions.</t>
  </si>
  <si>
    <t>Terminal</t>
  </si>
  <si>
    <t>Key valuation assumptions</t>
  </si>
  <si>
    <t>Scenario 1: continued growth in capital expenditures</t>
  </si>
  <si>
    <t>g \ WACC</t>
  </si>
  <si>
    <t>Unlevered free cash flows</t>
  </si>
  <si>
    <t>Cash taxes on EBIT</t>
  </si>
  <si>
    <t>NOPAT</t>
  </si>
  <si>
    <t>Scenario 2: terminal-year capital expenditures = depreciation and amortisation</t>
  </si>
  <si>
    <t>Less: change in operating net working capital</t>
  </si>
  <si>
    <t>Discounting</t>
  </si>
  <si>
    <t>Discount period</t>
  </si>
  <si>
    <t>Discount factor</t>
  </si>
  <si>
    <t>Present value of unlevered FCF</t>
  </si>
  <si>
    <t>Terminal value</t>
  </si>
  <si>
    <t>Present value of terminal value</t>
  </si>
  <si>
    <t>Valuation summary — Scenario 1: continued growth in capital expenditures</t>
  </si>
  <si>
    <t>Less: net debt / (net cash)</t>
  </si>
  <si>
    <t>Equity value</t>
  </si>
  <si>
    <t>Implied value / share (PLN)</t>
  </si>
  <si>
    <t>Valuation summary — Scenario 2: terminal-year capital expenditures = depreciation and amortisation</t>
  </si>
  <si>
    <t>Terminal-year NOPAT</t>
  </si>
  <si>
    <t>Terminal-year depreciation and amortisation</t>
  </si>
  <si>
    <t>Terminal-year capital expenditures assumption</t>
  </si>
  <si>
    <t>Terminal-year change in net working capital</t>
  </si>
  <si>
    <t>Terminal-year UFCF</t>
  </si>
  <si>
    <t>Model checks</t>
  </si>
  <si>
    <t>All checks should equal zero</t>
  </si>
  <si>
    <t>Link between debt schedule and three-statement model</t>
  </si>
  <si>
    <t>Link between cash and debt/WACC</t>
  </si>
  <si>
    <t>Check of WACC source for DCF</t>
  </si>
  <si>
    <t>Capital expenditures growth check</t>
  </si>
  <si>
    <t>Scenario 2 check: terminal capital expenditures = depreciation and amortisation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</si>
</sst>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#,##0.00;[Red]\(#,##0.00\);\-"/>
    <numFmt numFmtId="165" formatCode="0.00%;[Red]\(0.00%\);\-"/>
    <numFmt numFmtId="166" formatCode="#,##0;[Red]\(#,##0\);\-"/>
    <numFmt numFmtId="167" formatCode="0.00;[Red]\(0.00\);\-"/>
    <numFmt numFmtId="168" formatCode="0.0%"/>
    <numFmt numFmtId="169" formatCode="#,##0.0000;[Red]\(#,##0.0000\);\-"/>
    <numFmt numFmtId="170" formatCode="0.0000%"/>
  </numFmts>
  <fonts count="17">
    <font>
      <sz val="11"/>
      <name val="Carlito"/>
    </font>
    <font>
      <b/>
      <sz val="12"/>
      <color rgb="FFFFFFFF"/>
      <name val="Carlito"/>
    </font>
    <font>
      <i/>
      <sz val="9"/>
      <color rgb="FF666666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0"/>
      <color rgb="FFFFFFFF"/>
      <name val="Carlito"/>
    </font>
    <font>
      <sz val="10"/>
      <color rgb="FF0000FF"/>
      <name val="Carlito"/>
    </font>
    <font>
      <sz val="10"/>
      <color rgb="FF008000"/>
      <name val="Carlito"/>
    </font>
    <font>
      <b/>
      <sz val="10"/>
      <color rgb="FF008000"/>
      <name val="Carlito"/>
    </font>
    <font>
      <b/>
      <sz val="10"/>
      <name val="Carlito"/>
    </font>
    <font>
      <sz val="10"/>
      <color theme="5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name val="Carlito"/>
    </font>
    <font>
      <sz val="10"/>
      <name val="Carlito"/>
    </font>
    <font>
      <sz val="11"/>
      <color rgb="FF008000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5A83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06">
    <xf numFmtId="0" fontId="0" fillId="0" borderId="0" xfId="0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left" wrapText="1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 wrapText="1"/>
    </xf>
    <xf numFmtId="166" fontId="8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4" fillId="0" borderId="0" xfId="0" applyNumberFormat="1" applyFont="1" applyAlignment="1">
      <alignment horizontal="left"/>
    </xf>
    <xf numFmtId="166" fontId="3" fillId="0" borderId="1" xfId="0" applyNumberFormat="1" applyFont="1" applyBorder="1" applyAlignment="1">
      <alignment horizontal="left"/>
    </xf>
    <xf numFmtId="166" fontId="9" fillId="0" borderId="1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6" fontId="0" fillId="0" borderId="0" xfId="0" applyNumberFormat="1"/>
    <xf numFmtId="10" fontId="0" fillId="0" borderId="0" xfId="0" applyNumberFormat="1"/>
    <xf numFmtId="164" fontId="4" fillId="0" borderId="0" xfId="0" applyNumberFormat="1" applyFont="1" applyAlignment="1">
      <alignment vertical="top" wrapText="1"/>
    </xf>
    <xf numFmtId="168" fontId="11" fillId="7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7" fontId="0" fillId="0" borderId="2" xfId="0" applyNumberFormat="1" applyBorder="1" applyAlignment="1">
      <alignment horizontal="center" vertical="center"/>
    </xf>
    <xf numFmtId="166" fontId="3" fillId="0" borderId="2" xfId="0" applyNumberFormat="1" applyFont="1" applyBorder="1" applyAlignment="1">
      <alignment horizontal="right"/>
    </xf>
    <xf numFmtId="169" fontId="0" fillId="0" borderId="0" xfId="0" applyNumberFormat="1"/>
    <xf numFmtId="170" fontId="0" fillId="0" borderId="0" xfId="0" quotePrefix="1" applyNumberFormat="1"/>
    <xf numFmtId="10" fontId="3" fillId="0" borderId="2" xfId="0" applyNumberFormat="1" applyFont="1" applyBorder="1" applyAlignment="1">
      <alignment horizontal="right"/>
    </xf>
    <xf numFmtId="42" fontId="0" fillId="0" borderId="0" xfId="0" applyNumberFormat="1"/>
    <xf numFmtId="42" fontId="4" fillId="0" borderId="0" xfId="0" applyNumberFormat="1" applyFont="1" applyAlignment="1">
      <alignment horizontal="left"/>
    </xf>
    <xf numFmtId="42" fontId="10" fillId="0" borderId="0" xfId="0" applyNumberFormat="1" applyFont="1" applyAlignment="1">
      <alignment horizontal="right"/>
    </xf>
    <xf numFmtId="42" fontId="10" fillId="4" borderId="0" xfId="0" applyNumberFormat="1" applyFont="1" applyFill="1" applyAlignment="1">
      <alignment horizontal="right"/>
    </xf>
    <xf numFmtId="41" fontId="4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41" fontId="7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right"/>
    </xf>
    <xf numFmtId="41" fontId="14" fillId="0" borderId="0" xfId="0" applyNumberFormat="1" applyFont="1" applyAlignment="1">
      <alignment horizontal="right"/>
    </xf>
    <xf numFmtId="41" fontId="10" fillId="0" borderId="0" xfId="0" applyNumberFormat="1" applyFont="1" applyAlignment="1">
      <alignment horizontal="right"/>
    </xf>
    <xf numFmtId="41" fontId="3" fillId="0" borderId="1" xfId="0" applyNumberFormat="1" applyFont="1" applyBorder="1" applyAlignment="1">
      <alignment horizontal="right"/>
    </xf>
    <xf numFmtId="41" fontId="9" fillId="0" borderId="1" xfId="0" applyNumberFormat="1" applyFont="1" applyBorder="1" applyAlignment="1">
      <alignment horizontal="right"/>
    </xf>
    <xf numFmtId="166" fontId="14" fillId="0" borderId="0" xfId="0" applyNumberFormat="1" applyFont="1" applyAlignment="1">
      <alignment horizontal="left"/>
    </xf>
    <xf numFmtId="165" fontId="9" fillId="0" borderId="1" xfId="0" applyNumberFormat="1" applyFont="1" applyBorder="1" applyAlignment="1">
      <alignment horizontal="right"/>
    </xf>
    <xf numFmtId="41" fontId="7" fillId="8" borderId="0" xfId="0" applyNumberFormat="1" applyFont="1" applyFill="1" applyAlignment="1">
      <alignment horizontal="right"/>
    </xf>
    <xf numFmtId="41" fontId="14" fillId="8" borderId="0" xfId="0" applyNumberFormat="1" applyFont="1" applyFill="1" applyAlignment="1">
      <alignment horizontal="right"/>
    </xf>
    <xf numFmtId="10" fontId="14" fillId="8" borderId="0" xfId="0" applyNumberFormat="1" applyFont="1" applyFill="1" applyAlignment="1">
      <alignment horizontal="right"/>
    </xf>
    <xf numFmtId="10" fontId="7" fillId="8" borderId="0" xfId="0" applyNumberFormat="1" applyFont="1" applyFill="1" applyAlignment="1">
      <alignment horizontal="right"/>
    </xf>
    <xf numFmtId="41" fontId="4" fillId="8" borderId="0" xfId="0" applyNumberFormat="1" applyFont="1" applyFill="1" applyAlignment="1">
      <alignment horizontal="right"/>
    </xf>
    <xf numFmtId="10" fontId="4" fillId="8" borderId="0" xfId="0" applyNumberFormat="1" applyFont="1" applyFill="1" applyAlignment="1">
      <alignment horizontal="right"/>
    </xf>
    <xf numFmtId="166" fontId="7" fillId="8" borderId="0" xfId="0" applyNumberFormat="1" applyFont="1" applyFill="1" applyAlignment="1">
      <alignment horizontal="right"/>
    </xf>
    <xf numFmtId="165" fontId="14" fillId="8" borderId="0" xfId="0" applyNumberFormat="1" applyFont="1" applyFill="1" applyAlignment="1">
      <alignment horizontal="right"/>
    </xf>
    <xf numFmtId="0" fontId="0" fillId="8" borderId="0" xfId="0" applyFill="1"/>
    <xf numFmtId="164" fontId="4" fillId="8" borderId="0" xfId="0" applyNumberFormat="1" applyFont="1" applyFill="1" applyAlignment="1">
      <alignment horizontal="right"/>
    </xf>
    <xf numFmtId="164" fontId="7" fillId="8" borderId="0" xfId="0" applyNumberFormat="1" applyFont="1" applyFill="1" applyAlignment="1">
      <alignment horizontal="right"/>
    </xf>
    <xf numFmtId="165" fontId="7" fillId="8" borderId="0" xfId="0" applyNumberFormat="1" applyFont="1" applyFill="1" applyAlignment="1">
      <alignment horizontal="right"/>
    </xf>
    <xf numFmtId="4" fontId="6" fillId="8" borderId="0" xfId="0" applyNumberFormat="1" applyFont="1" applyFill="1" applyAlignment="1">
      <alignment horizontal="right"/>
    </xf>
    <xf numFmtId="165" fontId="6" fillId="8" borderId="0" xfId="0" applyNumberFormat="1" applyFont="1" applyFill="1" applyAlignment="1">
      <alignment horizontal="right"/>
    </xf>
    <xf numFmtId="164" fontId="6" fillId="8" borderId="0" xfId="0" applyNumberFormat="1" applyFont="1" applyFill="1" applyAlignment="1">
      <alignment horizontal="right"/>
    </xf>
    <xf numFmtId="1" fontId="7" fillId="8" borderId="0" xfId="0" applyNumberFormat="1" applyFont="1" applyFill="1" applyAlignment="1">
      <alignment horizontal="right"/>
    </xf>
    <xf numFmtId="166" fontId="4" fillId="8" borderId="0" xfId="0" applyNumberFormat="1" applyFont="1" applyFill="1" applyAlignment="1">
      <alignment horizontal="right"/>
    </xf>
    <xf numFmtId="166" fontId="6" fillId="8" borderId="0" xfId="0" applyNumberFormat="1" applyFont="1" applyFill="1" applyAlignment="1">
      <alignment horizontal="right"/>
    </xf>
    <xf numFmtId="41" fontId="6" fillId="8" borderId="0" xfId="0" applyNumberFormat="1" applyFont="1" applyFill="1" applyAlignment="1">
      <alignment horizontal="right"/>
    </xf>
    <xf numFmtId="166" fontId="14" fillId="8" borderId="0" xfId="0" applyNumberFormat="1" applyFont="1" applyFill="1" applyAlignment="1">
      <alignment horizontal="right"/>
    </xf>
    <xf numFmtId="10" fontId="6" fillId="8" borderId="0" xfId="0" applyNumberFormat="1" applyFont="1" applyFill="1" applyAlignment="1">
      <alignment horizontal="right"/>
    </xf>
    <xf numFmtId="166" fontId="3" fillId="0" borderId="0" xfId="0" applyNumberFormat="1" applyFont="1" applyAlignment="1">
      <alignment horizontal="left"/>
    </xf>
    <xf numFmtId="166" fontId="15" fillId="4" borderId="0" xfId="0" applyNumberFormat="1" applyFont="1" applyFill="1" applyAlignment="1">
      <alignment horizontal="right"/>
    </xf>
    <xf numFmtId="166" fontId="0" fillId="4" borderId="0" xfId="0" applyNumberFormat="1" applyFill="1" applyAlignment="1">
      <alignment horizontal="right"/>
    </xf>
    <xf numFmtId="2" fontId="14" fillId="0" borderId="0" xfId="0" applyNumberFormat="1" applyFont="1" applyAlignment="1">
      <alignment horizontal="right"/>
    </xf>
    <xf numFmtId="3" fontId="6" fillId="8" borderId="0" xfId="0" applyNumberFormat="1" applyFont="1" applyFill="1" applyAlignment="1">
      <alignment horizontal="right"/>
    </xf>
    <xf numFmtId="166" fontId="9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0" fontId="3" fillId="0" borderId="1" xfId="0" applyNumberFormat="1" applyFont="1" applyBorder="1" applyAlignment="1">
      <alignment horizontal="right"/>
    </xf>
    <xf numFmtId="164" fontId="2" fillId="2" borderId="0" xfId="0" applyNumberFormat="1" applyFont="1" applyFill="1" applyAlignment="1">
      <alignment horizontal="left" vertical="center" wrapText="1"/>
    </xf>
    <xf numFmtId="0" fontId="14" fillId="0" borderId="0" xfId="0" applyFont="1"/>
    <xf numFmtId="41" fontId="0" fillId="0" borderId="0" xfId="0" applyNumberFormat="1"/>
    <xf numFmtId="43" fontId="0" fillId="0" borderId="0" xfId="0" applyNumberFormat="1"/>
    <xf numFmtId="10" fontId="0" fillId="0" borderId="0" xfId="1" applyNumberFormat="1" applyFont="1"/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164" fontId="1" fillId="5" borderId="0" xfId="0" applyNumberFormat="1" applyFont="1" applyFill="1" applyAlignment="1">
      <alignment horizontal="left" vertical="center"/>
    </xf>
    <xf numFmtId="164" fontId="1" fillId="5" borderId="0" xfId="0" applyNumberFormat="1" applyFont="1" applyFill="1" applyAlignment="1">
      <alignment horizontal="left" vertical="center" wrapText="1"/>
    </xf>
    <xf numFmtId="164" fontId="1" fillId="5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/>
    </xf>
    <xf numFmtId="164" fontId="5" fillId="7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left" vertical="center" wrapText="1"/>
    </xf>
    <xf numFmtId="42" fontId="5" fillId="5" borderId="0" xfId="0" applyNumberFormat="1" applyFont="1" applyFill="1" applyAlignment="1">
      <alignment horizontal="left" vertical="center"/>
    </xf>
    <xf numFmtId="41" fontId="5" fillId="7" borderId="0" xfId="0" applyNumberFormat="1" applyFont="1" applyFill="1" applyAlignment="1">
      <alignment horizontal="center" vertical="center"/>
    </xf>
    <xf numFmtId="41" fontId="5" fillId="5" borderId="0" xfId="0" applyNumberFormat="1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166" fontId="5" fillId="5" borderId="0" xfId="0" applyNumberFormat="1" applyFont="1" applyFill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 wrapText="1"/>
    </xf>
    <xf numFmtId="0" fontId="11" fillId="7" borderId="2" xfId="0" applyFont="1" applyFill="1" applyBorder="1" applyAlignment="1">
      <alignment horizontal="center" vertical="center"/>
    </xf>
    <xf numFmtId="168" fontId="13" fillId="6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000"/>
      <color rgb="FF0000FF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showGridLines="0" zoomScale="62" workbookViewId="0">
      <selection activeCell="D36" sqref="D36"/>
    </sheetView>
  </sheetViews>
  <sheetFormatPr defaultRowHeight="13.9"/>
  <cols>
    <col min="1" max="1" width="30.25" customWidth="1"/>
    <col min="2" max="2" width="24.125" customWidth="1"/>
    <col min="3" max="4" width="15" customWidth="1"/>
    <col min="5" max="5" width="26" customWidth="1"/>
    <col min="6" max="6" width="14" customWidth="1"/>
    <col min="7" max="7" width="16" customWidth="1"/>
    <col min="8" max="8" width="14" customWidth="1"/>
    <col min="9" max="9" width="28" customWidth="1"/>
    <col min="10" max="12" width="15" customWidth="1"/>
  </cols>
  <sheetData>
    <row r="1" spans="1:12" ht="22.1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  <c r="J1" s="88"/>
      <c r="K1" s="89"/>
      <c r="L1" s="89"/>
    </row>
    <row r="2" spans="1:12" ht="28.15" customHeight="1">
      <c r="A2" s="83" t="s">
        <v>1</v>
      </c>
      <c r="B2" s="84"/>
      <c r="C2" s="84"/>
      <c r="D2" s="84"/>
      <c r="E2" s="84"/>
      <c r="F2" s="84"/>
      <c r="G2" s="84"/>
      <c r="H2" s="84"/>
      <c r="I2" s="84"/>
      <c r="J2" s="78"/>
    </row>
    <row r="3" spans="1:12" ht="19.899999999999999" customHeight="1">
      <c r="A3" s="90" t="s">
        <v>2</v>
      </c>
      <c r="B3" s="91"/>
      <c r="C3" s="91"/>
      <c r="D3" s="91"/>
      <c r="E3" s="91"/>
      <c r="F3" s="91"/>
      <c r="G3" s="91"/>
      <c r="H3" s="91"/>
      <c r="I3" s="91"/>
      <c r="J3" s="92"/>
    </row>
    <row r="4" spans="1:12" ht="18" customHeight="1">
      <c r="A4" s="14" t="s">
        <v>3</v>
      </c>
      <c r="B4" s="15" t="s">
        <v>4</v>
      </c>
      <c r="C4" s="15" t="s">
        <v>5</v>
      </c>
      <c r="D4" s="15" t="s">
        <v>6</v>
      </c>
      <c r="E4" s="15"/>
      <c r="F4" s="15" t="s">
        <v>3</v>
      </c>
      <c r="G4" s="15" t="s">
        <v>7</v>
      </c>
      <c r="H4" s="15" t="s">
        <v>8</v>
      </c>
      <c r="I4" s="15"/>
      <c r="J4" s="93"/>
    </row>
    <row r="5" spans="1:12" ht="18" customHeight="1">
      <c r="A5" s="1" t="s">
        <v>9</v>
      </c>
      <c r="B5" s="55">
        <f>'Three-Statement Model'!H6</f>
        <v>39326449.583942607</v>
      </c>
      <c r="C5" s="55">
        <f>'Three-Statement Model'!L6</f>
        <v>65628073.804951631</v>
      </c>
      <c r="D5" s="56">
        <f>POWER(C5/B5,1/4)-1</f>
        <v>0.13658319245862227</v>
      </c>
      <c r="E5" s="57"/>
      <c r="F5" s="58" t="s">
        <v>10</v>
      </c>
      <c r="G5" s="59">
        <f>'DCF Valuation'!B26</f>
        <v>35.731345174491125</v>
      </c>
      <c r="H5" s="58" t="s">
        <v>11</v>
      </c>
      <c r="I5" s="13"/>
      <c r="J5" s="2"/>
    </row>
    <row r="6" spans="1:12" ht="18" customHeight="1">
      <c r="A6" s="1" t="s">
        <v>12</v>
      </c>
      <c r="B6" s="55">
        <f>'Three-Statement Model'!H15</f>
        <v>3100305.0683453446</v>
      </c>
      <c r="C6" s="55">
        <f>'Three-Statement Model'!L15</f>
        <v>5736782.6969330972</v>
      </c>
      <c r="D6" s="56">
        <f>POWER(C6/B6,1/4)-1</f>
        <v>0.16631535233427708</v>
      </c>
      <c r="E6" s="57"/>
      <c r="F6" s="58" t="s">
        <v>10</v>
      </c>
      <c r="G6" s="59">
        <f>'DCF Valuation'!B38</f>
        <v>44.824100326033523</v>
      </c>
      <c r="H6" s="58" t="s">
        <v>13</v>
      </c>
      <c r="I6" s="13"/>
      <c r="J6" s="2"/>
    </row>
    <row r="7" spans="1:12" ht="18" customHeight="1">
      <c r="A7" s="1" t="s">
        <v>14</v>
      </c>
      <c r="B7" s="60">
        <f>'Three-Statement Model'!H19</f>
        <v>6.3835112275460307E-2</v>
      </c>
      <c r="C7" s="60">
        <f>'Three-Statement Model'!L19</f>
        <v>7.2413546738899673E-2</v>
      </c>
      <c r="D7" s="56">
        <f>C7-B7</f>
        <v>8.5784344634393661E-3</v>
      </c>
      <c r="E7" s="57"/>
      <c r="F7" s="58" t="s">
        <v>15</v>
      </c>
      <c r="G7" s="59">
        <f>'DCF Valuation'!B27</f>
        <v>41</v>
      </c>
      <c r="H7" s="58"/>
      <c r="I7" s="13"/>
      <c r="J7" s="2"/>
    </row>
    <row r="8" spans="1:12" ht="18" customHeight="1">
      <c r="A8" s="1" t="s">
        <v>16</v>
      </c>
      <c r="B8" s="60">
        <f>'Debt and WACC'!H35</f>
        <v>9.2789233333333332E-2</v>
      </c>
      <c r="C8" s="60">
        <f>'Debt and WACC'!L35</f>
        <v>9.2789233333333332E-2</v>
      </c>
      <c r="D8" s="60">
        <f>C8-B8</f>
        <v>0</v>
      </c>
      <c r="E8" s="57"/>
      <c r="F8" s="58" t="s">
        <v>17</v>
      </c>
      <c r="G8" s="52">
        <f>'DCF Valuation'!B28</f>
        <v>-0.12850377623192377</v>
      </c>
      <c r="H8" s="58" t="s">
        <v>11</v>
      </c>
      <c r="I8" s="13"/>
      <c r="J8" s="2"/>
    </row>
    <row r="9" spans="1:12" ht="18" customHeight="1">
      <c r="A9" s="1" t="s">
        <v>18</v>
      </c>
      <c r="B9" s="49">
        <f>'Three-Statement Model'!H89</f>
        <v>581564.89759967744</v>
      </c>
      <c r="C9" s="49">
        <f>'Three-Statement Model'!L89</f>
        <v>-6648703.8872087859</v>
      </c>
      <c r="D9" s="50">
        <f>C9-B9</f>
        <v>-7230268.7848084634</v>
      </c>
      <c r="E9" s="57"/>
      <c r="F9" s="58" t="s">
        <v>17</v>
      </c>
      <c r="G9" s="60">
        <f>'DCF Valuation'!B39</f>
        <v>9.3270739659354174E-2</v>
      </c>
      <c r="H9" s="58" t="s">
        <v>13</v>
      </c>
      <c r="I9" s="13"/>
      <c r="J9" s="2"/>
    </row>
    <row r="10" spans="1:12" ht="18" customHeight="1">
      <c r="A10" s="94" t="s">
        <v>19</v>
      </c>
      <c r="B10" s="94"/>
      <c r="C10" s="94"/>
      <c r="D10" s="94"/>
      <c r="E10" s="94"/>
      <c r="F10" s="94"/>
      <c r="G10" s="94"/>
      <c r="H10" s="94"/>
      <c r="I10" s="94"/>
      <c r="J10" s="92"/>
    </row>
    <row r="11" spans="1:12" ht="19.899999999999999" customHeight="1">
      <c r="A11" s="14" t="s">
        <v>3</v>
      </c>
      <c r="B11" s="15" t="s">
        <v>4</v>
      </c>
      <c r="C11" s="15" t="s">
        <v>20</v>
      </c>
      <c r="D11" s="15" t="s">
        <v>21</v>
      </c>
      <c r="E11" s="15" t="s">
        <v>22</v>
      </c>
      <c r="F11" s="15" t="s">
        <v>5</v>
      </c>
      <c r="G11" s="93"/>
      <c r="H11" s="93"/>
      <c r="I11" s="93"/>
      <c r="J11" s="93"/>
    </row>
    <row r="12" spans="1:12" ht="18" customHeight="1">
      <c r="A12" s="1" t="s">
        <v>23</v>
      </c>
      <c r="B12" s="60">
        <f>Assumptions!B28</f>
        <v>5.5E-2</v>
      </c>
      <c r="C12" s="60">
        <f>Assumptions!C28</f>
        <v>5.3499999999999999E-2</v>
      </c>
      <c r="D12" s="60">
        <f>Assumptions!D28</f>
        <v>5.1999999999999998E-2</v>
      </c>
      <c r="E12" s="60">
        <f>Assumptions!E28</f>
        <v>5.0500000000000003E-2</v>
      </c>
      <c r="F12" s="60">
        <f>Assumptions!F28</f>
        <v>4.9000000000000002E-2</v>
      </c>
      <c r="G12" s="2"/>
      <c r="H12" s="2"/>
      <c r="I12" s="2"/>
      <c r="J12" s="2"/>
    </row>
    <row r="13" spans="1:12">
      <c r="A13" s="1" t="s">
        <v>24</v>
      </c>
      <c r="B13" s="60">
        <f>Assumptions!B29</f>
        <v>3.5000000000000003E-2</v>
      </c>
      <c r="C13" s="60">
        <f>Assumptions!C29</f>
        <v>3.2000000000000001E-2</v>
      </c>
      <c r="D13" s="60">
        <f>Assumptions!D29</f>
        <v>2.9000000000000001E-2</v>
      </c>
      <c r="E13" s="60">
        <f>Assumptions!E29</f>
        <v>2.5999999999999999E-2</v>
      </c>
      <c r="F13" s="60">
        <f>Assumptions!F29</f>
        <v>2.3E-2</v>
      </c>
      <c r="G13" s="2"/>
      <c r="H13" s="2"/>
      <c r="I13" s="2"/>
      <c r="J13" s="2"/>
    </row>
    <row r="14" spans="1:12">
      <c r="A14" s="1" t="s">
        <v>25</v>
      </c>
      <c r="B14" s="60">
        <f>Assumptions!B30</f>
        <v>0.23699999999999999</v>
      </c>
      <c r="C14" s="60">
        <f>Assumptions!C30</f>
        <v>0.23799999999999999</v>
      </c>
      <c r="D14" s="60">
        <f>Assumptions!D30</f>
        <v>0.23899999999999999</v>
      </c>
      <c r="E14" s="60">
        <f>Assumptions!E30</f>
        <v>0.24</v>
      </c>
      <c r="F14" s="60">
        <f>Assumptions!F30</f>
        <v>0.24</v>
      </c>
      <c r="G14" s="2"/>
      <c r="H14" s="2"/>
      <c r="I14" s="2"/>
      <c r="J14" s="2"/>
    </row>
    <row r="15" spans="1:12">
      <c r="A15" s="1" t="s">
        <v>26</v>
      </c>
      <c r="B15" s="60">
        <f>Assumptions!B35</f>
        <v>6.0999999999999999E-2</v>
      </c>
      <c r="C15" s="60">
        <f>Assumptions!C35</f>
        <v>5.2999999999999999E-2</v>
      </c>
      <c r="D15" s="60">
        <f>Assumptions!D35</f>
        <v>4.4999999999999998E-2</v>
      </c>
      <c r="E15" s="60">
        <f>Assumptions!E35</f>
        <v>3.6999999999999998E-2</v>
      </c>
      <c r="F15" s="60">
        <f>Assumptions!F35</f>
        <v>2.9000000000000001E-2</v>
      </c>
      <c r="G15" s="2"/>
      <c r="H15" s="2"/>
      <c r="I15" s="2"/>
      <c r="J15" s="2"/>
    </row>
    <row r="16" spans="1:12">
      <c r="A16" s="1" t="s">
        <v>27</v>
      </c>
      <c r="B16" s="60">
        <f>Assumptions!B16</f>
        <v>0.95</v>
      </c>
      <c r="C16" s="60">
        <f>Assumptions!B16</f>
        <v>0.95</v>
      </c>
      <c r="D16" s="60">
        <f>Assumptions!B16</f>
        <v>0.95</v>
      </c>
      <c r="E16" s="60">
        <f>Assumptions!B16</f>
        <v>0.95</v>
      </c>
      <c r="F16" s="60">
        <f>Assumptions!B16</f>
        <v>0.95</v>
      </c>
      <c r="G16" s="2"/>
      <c r="H16" s="2"/>
      <c r="I16" s="2"/>
      <c r="J16" s="2"/>
    </row>
    <row r="17" spans="1:10">
      <c r="A17" s="1" t="s">
        <v>28</v>
      </c>
      <c r="B17" s="60">
        <f>Assumptions!B17</f>
        <v>5.0000000000000044E-2</v>
      </c>
      <c r="C17" s="60">
        <f>Assumptions!B17</f>
        <v>5.0000000000000044E-2</v>
      </c>
      <c r="D17" s="60">
        <f>Assumptions!B17</f>
        <v>5.0000000000000044E-2</v>
      </c>
      <c r="E17" s="60">
        <f>Assumptions!B17</f>
        <v>5.0000000000000044E-2</v>
      </c>
      <c r="F17" s="60">
        <f>Assumptions!B17</f>
        <v>5.0000000000000044E-2</v>
      </c>
      <c r="G17" s="2"/>
      <c r="H17" s="2"/>
      <c r="I17" s="2"/>
      <c r="J17" s="2"/>
    </row>
    <row r="18" spans="1:10">
      <c r="A18" s="94" t="s">
        <v>29</v>
      </c>
      <c r="B18" s="94"/>
      <c r="C18" s="94"/>
      <c r="D18" s="94"/>
      <c r="E18" s="94"/>
      <c r="F18" s="94"/>
      <c r="G18" s="94"/>
      <c r="H18" s="94"/>
      <c r="I18" s="94"/>
      <c r="J18" s="92"/>
    </row>
    <row r="19" spans="1:10" ht="19.899999999999999" customHeight="1">
      <c r="A19" s="14" t="s">
        <v>30</v>
      </c>
      <c r="B19" s="15" t="s">
        <v>31</v>
      </c>
      <c r="C19" s="15" t="s">
        <v>32</v>
      </c>
      <c r="D19" s="15" t="s">
        <v>14</v>
      </c>
      <c r="E19" s="15" t="s">
        <v>33</v>
      </c>
      <c r="F19" s="15" t="s">
        <v>16</v>
      </c>
      <c r="G19" s="93"/>
      <c r="H19" s="93"/>
      <c r="I19" s="93"/>
      <c r="J19" s="93"/>
    </row>
    <row r="20" spans="1:10" ht="18" customHeight="1">
      <c r="A20" s="11">
        <v>2020</v>
      </c>
      <c r="B20" s="55">
        <f>'Three-Statement Model'!B6</f>
        <v>10125815</v>
      </c>
      <c r="C20" s="55">
        <f>'Three-Statement Model'!B15</f>
        <v>1036005</v>
      </c>
      <c r="D20" s="60">
        <f>'Three-Statement Model'!B19</f>
        <v>8.2744845723529414E-2</v>
      </c>
      <c r="E20" s="59"/>
      <c r="F20" s="60">
        <f>'Debt and WACC'!B35</f>
        <v>3.7466573637987603E-2</v>
      </c>
      <c r="G20" s="2"/>
      <c r="H20" s="2"/>
      <c r="I20" s="2"/>
      <c r="J20" s="2"/>
    </row>
    <row r="21" spans="1:10">
      <c r="A21" s="11">
        <v>2021</v>
      </c>
      <c r="B21" s="55">
        <f>'Three-Statement Model'!C6</f>
        <v>13362012</v>
      </c>
      <c r="C21" s="55">
        <f>'Three-Statement Model'!C15</f>
        <v>1271336</v>
      </c>
      <c r="D21" s="60">
        <f>'Three-Statement Model'!C19</f>
        <v>7.6634641549491206E-2</v>
      </c>
      <c r="E21" s="59"/>
      <c r="F21" s="60">
        <f>'Debt and WACC'!C35</f>
        <v>4.20835697131305E-2</v>
      </c>
      <c r="G21" s="2"/>
      <c r="H21" s="2"/>
      <c r="I21" s="2"/>
      <c r="J21" s="2"/>
    </row>
    <row r="22" spans="1:10">
      <c r="A22" s="11">
        <v>2022</v>
      </c>
      <c r="B22" s="55">
        <f>'Three-Statement Model'!D6</f>
        <v>19801622</v>
      </c>
      <c r="C22" s="55">
        <f>'Three-Statement Model'!D15</f>
        <v>1837948</v>
      </c>
      <c r="D22" s="60">
        <f>'Three-Statement Model'!D19</f>
        <v>7.7661264314610193E-2</v>
      </c>
      <c r="E22" s="59"/>
      <c r="F22" s="60">
        <f>'Debt and WACC'!D35</f>
        <v>8.609983402848681E-2</v>
      </c>
      <c r="G22" s="2"/>
      <c r="H22" s="2"/>
      <c r="I22" s="2"/>
      <c r="J22" s="2"/>
    </row>
    <row r="23" spans="1:10">
      <c r="A23" s="11">
        <v>2023</v>
      </c>
      <c r="B23" s="55">
        <f>'Three-Statement Model'!E6</f>
        <v>25666255</v>
      </c>
      <c r="C23" s="55">
        <f>'Three-Statement Model'!E15</f>
        <v>2232683</v>
      </c>
      <c r="D23" s="60">
        <f>'Three-Statement Model'!E19</f>
        <v>7.3086431970694601E-2</v>
      </c>
      <c r="E23" s="59"/>
      <c r="F23" s="60">
        <f>'Debt and WACC'!E35</f>
        <v>8.9760003827196427E-2</v>
      </c>
      <c r="G23" s="2"/>
      <c r="H23" s="2"/>
      <c r="I23" s="2"/>
      <c r="J23" s="2"/>
    </row>
    <row r="24" spans="1:10">
      <c r="A24" s="11">
        <v>2024</v>
      </c>
      <c r="B24" s="55">
        <f>'Three-Statement Model'!F6</f>
        <v>29273792</v>
      </c>
      <c r="C24" s="55">
        <f>'Three-Statement Model'!F15</f>
        <v>2317509</v>
      </c>
      <c r="D24" s="60">
        <f>'Three-Statement Model'!F19</f>
        <v>6.5189026416529849E-2</v>
      </c>
      <c r="E24" s="59"/>
      <c r="F24" s="60">
        <f>'Debt and WACC'!F35</f>
        <v>8.8054898626868924E-2</v>
      </c>
      <c r="G24" s="2"/>
      <c r="H24" s="2"/>
      <c r="I24" s="2"/>
      <c r="J24" s="2"/>
    </row>
    <row r="25" spans="1:10">
      <c r="A25" s="11">
        <v>2025</v>
      </c>
      <c r="B25" s="55">
        <f>'Three-Statement Model'!G6</f>
        <v>33634155</v>
      </c>
      <c r="C25" s="55">
        <f>'Three-Statement Model'!G15</f>
        <v>2546313</v>
      </c>
      <c r="D25" s="60">
        <f>'Three-Statement Model'!G19</f>
        <v>6.0690747247849695E-2</v>
      </c>
      <c r="E25" s="59"/>
      <c r="F25" s="60">
        <f>'Debt and WACC'!G35</f>
        <v>8.8388239204149649E-2</v>
      </c>
      <c r="G25" s="2"/>
      <c r="H25" s="2"/>
      <c r="I25" s="2"/>
      <c r="J25" s="2"/>
    </row>
    <row r="26" spans="1:10">
      <c r="A26" s="11">
        <v>2026</v>
      </c>
      <c r="B26" s="55">
        <f>'Three-Statement Model'!H6</f>
        <v>39326449.583942607</v>
      </c>
      <c r="C26" s="55">
        <f>'Three-Statement Model'!H15</f>
        <v>3100305.0683453446</v>
      </c>
      <c r="D26" s="60">
        <f>'Three-Statement Model'!H19</f>
        <v>6.3835112275460307E-2</v>
      </c>
      <c r="E26" s="49">
        <f>'DCF Valuation'!B14</f>
        <v>-691342.74370967736</v>
      </c>
      <c r="F26" s="60">
        <f>'Debt and WACC'!H35</f>
        <v>9.2789233333333332E-2</v>
      </c>
      <c r="G26" s="2"/>
      <c r="H26" s="2"/>
      <c r="I26" s="2"/>
      <c r="J26" s="2"/>
    </row>
    <row r="27" spans="1:10">
      <c r="A27" s="11">
        <v>2027</v>
      </c>
      <c r="B27" s="55">
        <f>'Three-Statement Model'!I6</f>
        <v>45510535.72735171</v>
      </c>
      <c r="C27" s="55">
        <f>'Three-Statement Model'!I15</f>
        <v>3698090.0885271267</v>
      </c>
      <c r="D27" s="60">
        <f>'Three-Statement Model'!I19</f>
        <v>6.625788961663627E-2</v>
      </c>
      <c r="E27" s="55">
        <f>'DCF Valuation'!C14</f>
        <v>850042.41854725033</v>
      </c>
      <c r="F27" s="60">
        <f>'Debt and WACC'!I35</f>
        <v>9.2789233333333332E-2</v>
      </c>
      <c r="G27" s="2"/>
      <c r="H27" s="2"/>
      <c r="I27" s="2"/>
      <c r="J27" s="2"/>
    </row>
    <row r="28" spans="1:10">
      <c r="A28" s="11">
        <v>2028</v>
      </c>
      <c r="B28" s="55">
        <f>'Three-Statement Model'!J6</f>
        <v>51967771.527234606</v>
      </c>
      <c r="C28" s="55">
        <f>'Three-Statement Model'!J15</f>
        <v>4347000.0234410316</v>
      </c>
      <c r="D28" s="60">
        <f>'Three-Statement Model'!J19</f>
        <v>6.8647997512514297E-2</v>
      </c>
      <c r="E28" s="55">
        <f>'DCF Valuation'!D14</f>
        <v>1474709.2627848918</v>
      </c>
      <c r="F28" s="60">
        <f>'Debt and WACC'!J35</f>
        <v>9.2789233333333332E-2</v>
      </c>
      <c r="G28" s="2"/>
      <c r="H28" s="2"/>
      <c r="I28" s="2"/>
      <c r="J28" s="2"/>
    </row>
    <row r="29" spans="1:10">
      <c r="A29" s="11">
        <v>2029</v>
      </c>
      <c r="B29" s="55">
        <f>'Three-Statement Model'!K6</f>
        <v>58713668.291126758</v>
      </c>
      <c r="C29" s="55">
        <f>'Three-Statement Model'!K15</f>
        <v>5051305.8555304157</v>
      </c>
      <c r="D29" s="60">
        <f>'Three-Statement Model'!K19</f>
        <v>7.1032877906451741E-2</v>
      </c>
      <c r="E29" s="55">
        <f>'DCF Valuation'!E14</f>
        <v>2237511.6812678324</v>
      </c>
      <c r="F29" s="60">
        <f>'Debt and WACC'!K35</f>
        <v>9.2789233333333332E-2</v>
      </c>
      <c r="G29" s="2"/>
      <c r="H29" s="2"/>
      <c r="I29" s="2"/>
      <c r="J29" s="2"/>
    </row>
    <row r="30" spans="1:10">
      <c r="A30" s="11">
        <v>2030</v>
      </c>
      <c r="B30" s="55">
        <f>'Three-Statement Model'!L6</f>
        <v>65628073.804951631</v>
      </c>
      <c r="C30" s="55">
        <f>'Three-Statement Model'!L15</f>
        <v>5736782.6969330972</v>
      </c>
      <c r="D30" s="60">
        <f>'Three-Statement Model'!L19</f>
        <v>7.2413546738899673E-2</v>
      </c>
      <c r="E30" s="55">
        <f>'DCF Valuation'!F14</f>
        <v>3098698.4942861535</v>
      </c>
      <c r="F30" s="60">
        <f>'Debt and WACC'!L35</f>
        <v>9.2789233333333332E-2</v>
      </c>
      <c r="G30" s="2"/>
      <c r="H30" s="2"/>
      <c r="I30" s="2"/>
      <c r="J30" s="2"/>
    </row>
  </sheetData>
  <mergeCells count="3">
    <mergeCell ref="A1:I1"/>
    <mergeCell ref="A2:I2"/>
    <mergeCell ref="A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showGridLines="0" zoomScale="93" workbookViewId="0">
      <selection activeCell="A18" sqref="A1:H18"/>
    </sheetView>
  </sheetViews>
  <sheetFormatPr defaultRowHeight="13.9"/>
  <cols>
    <col min="1" max="1" width="47.125" customWidth="1"/>
    <col min="2" max="2" width="14.625" customWidth="1"/>
    <col min="3" max="7" width="13" customWidth="1"/>
    <col min="8" max="8" width="55" customWidth="1"/>
  </cols>
  <sheetData>
    <row r="1" spans="1:8" ht="22.15" customHeight="1">
      <c r="A1" s="85" t="s">
        <v>34</v>
      </c>
      <c r="B1" s="86"/>
      <c r="C1" s="86"/>
      <c r="D1" s="86"/>
      <c r="E1" s="86"/>
      <c r="F1" s="86"/>
      <c r="G1" s="86"/>
      <c r="H1" s="87"/>
    </row>
    <row r="2" spans="1:8" ht="30" customHeight="1">
      <c r="A2" s="90" t="s">
        <v>35</v>
      </c>
      <c r="B2" s="91"/>
      <c r="C2" s="91"/>
      <c r="D2" s="91"/>
      <c r="E2" s="91"/>
      <c r="F2" s="91"/>
      <c r="G2" s="91"/>
      <c r="H2" s="91"/>
    </row>
    <row r="3" spans="1:8" ht="18" customHeight="1">
      <c r="A3" s="14" t="s">
        <v>3</v>
      </c>
      <c r="B3" s="15" t="s">
        <v>7</v>
      </c>
      <c r="C3" s="15"/>
      <c r="D3" s="15"/>
      <c r="E3" s="15"/>
      <c r="F3" s="15"/>
      <c r="G3" s="15"/>
      <c r="H3" s="15" t="s">
        <v>36</v>
      </c>
    </row>
    <row r="4" spans="1:8" ht="18" customHeight="1">
      <c r="A4" s="79" t="s">
        <v>37</v>
      </c>
      <c r="B4" s="61">
        <v>15</v>
      </c>
      <c r="C4" s="62"/>
      <c r="D4" s="62"/>
      <c r="E4" s="62"/>
      <c r="F4" s="62"/>
      <c r="G4" s="62"/>
    </row>
    <row r="5" spans="1:8" ht="30" customHeight="1">
      <c r="A5" s="1" t="s">
        <v>38</v>
      </c>
      <c r="B5" s="62">
        <v>5.8799999999999998E-2</v>
      </c>
      <c r="C5" s="62"/>
      <c r="D5" s="62"/>
      <c r="E5" s="62"/>
      <c r="F5" s="62"/>
      <c r="G5" s="62"/>
      <c r="H5" s="13" t="s">
        <v>39</v>
      </c>
    </row>
    <row r="6" spans="1:8">
      <c r="A6" s="1" t="s">
        <v>40</v>
      </c>
      <c r="B6" s="61">
        <f>(1/3*1)+(2/3*0.51)</f>
        <v>0.67333333333333334</v>
      </c>
      <c r="C6" s="62"/>
      <c r="D6" s="62"/>
      <c r="E6" s="62"/>
      <c r="F6" s="62"/>
      <c r="G6" s="62"/>
      <c r="H6" s="13" t="s">
        <v>41</v>
      </c>
    </row>
    <row r="7" spans="1:8">
      <c r="A7" s="1" t="s">
        <v>42</v>
      </c>
      <c r="B7" s="62">
        <v>5.33E-2</v>
      </c>
      <c r="C7" s="62"/>
      <c r="D7" s="62"/>
      <c r="E7" s="62"/>
      <c r="F7" s="62"/>
      <c r="G7" s="62"/>
      <c r="H7" s="13" t="s">
        <v>43</v>
      </c>
    </row>
    <row r="8" spans="1:8">
      <c r="A8" s="1" t="s">
        <v>44</v>
      </c>
      <c r="B8" s="62">
        <v>2.5000000000000001E-2</v>
      </c>
      <c r="C8" s="62"/>
      <c r="D8" s="62"/>
      <c r="E8" s="62"/>
      <c r="F8" s="62"/>
      <c r="G8" s="62"/>
      <c r="H8" s="13"/>
    </row>
    <row r="9" spans="1:8" ht="18" customHeight="1">
      <c r="A9" s="1" t="s">
        <v>45</v>
      </c>
      <c r="B9" s="61">
        <f>'Source Data'!G104</f>
        <v>41</v>
      </c>
      <c r="C9" s="63"/>
      <c r="D9" s="63"/>
      <c r="E9" s="63"/>
      <c r="F9" s="63"/>
      <c r="G9" s="63"/>
      <c r="H9" s="13" t="s">
        <v>46</v>
      </c>
    </row>
    <row r="10" spans="1:8">
      <c r="A10" s="1" t="s">
        <v>47</v>
      </c>
      <c r="B10" s="74">
        <f>'Source Data'!G101</f>
        <v>980400</v>
      </c>
      <c r="C10" s="63"/>
      <c r="D10" s="63"/>
      <c r="E10" s="63"/>
      <c r="F10" s="63"/>
      <c r="G10" s="63"/>
      <c r="H10" s="13" t="s">
        <v>48</v>
      </c>
    </row>
    <row r="11" spans="1:8">
      <c r="A11" s="1" t="s">
        <v>49</v>
      </c>
      <c r="B11" s="63">
        <v>365</v>
      </c>
      <c r="C11" s="63"/>
      <c r="D11" s="63"/>
      <c r="E11" s="63"/>
      <c r="F11" s="63"/>
      <c r="G11" s="63"/>
      <c r="H11" s="13" t="s">
        <v>50</v>
      </c>
    </row>
    <row r="12" spans="1:8">
      <c r="A12" s="1" t="s">
        <v>51</v>
      </c>
      <c r="B12" s="63">
        <v>1000</v>
      </c>
      <c r="C12" s="63"/>
      <c r="D12" s="63"/>
      <c r="E12" s="63"/>
      <c r="F12" s="63"/>
      <c r="G12" s="63"/>
      <c r="H12" s="13" t="s">
        <v>52</v>
      </c>
    </row>
    <row r="13" spans="1:8">
      <c r="A13" s="1" t="s">
        <v>53</v>
      </c>
      <c r="B13" s="62">
        <v>0.02</v>
      </c>
      <c r="C13" s="62"/>
      <c r="D13" s="62"/>
      <c r="E13" s="62"/>
      <c r="F13" s="62"/>
      <c r="G13" s="62"/>
      <c r="H13" s="13"/>
    </row>
    <row r="14" spans="1:8">
      <c r="A14" s="1" t="s">
        <v>54</v>
      </c>
      <c r="B14" s="62">
        <v>0.02</v>
      </c>
      <c r="C14" s="62"/>
      <c r="D14" s="62"/>
      <c r="E14" s="62"/>
      <c r="F14" s="62"/>
      <c r="G14" s="62"/>
      <c r="H14" s="13"/>
    </row>
    <row r="15" spans="1:8">
      <c r="A15" s="1" t="s">
        <v>55</v>
      </c>
      <c r="B15" s="62">
        <v>0.19</v>
      </c>
      <c r="C15" s="62"/>
      <c r="D15" s="62"/>
      <c r="E15" s="62"/>
      <c r="F15" s="62"/>
      <c r="G15" s="62"/>
      <c r="H15" s="13"/>
    </row>
    <row r="16" spans="1:8">
      <c r="A16" s="1" t="s">
        <v>27</v>
      </c>
      <c r="B16" s="62">
        <v>0.95</v>
      </c>
      <c r="C16" s="62"/>
      <c r="D16" s="62"/>
      <c r="E16" s="62"/>
      <c r="F16" s="62"/>
      <c r="G16" s="62"/>
      <c r="H16" s="13"/>
    </row>
    <row r="17" spans="1:8">
      <c r="A17" s="1" t="s">
        <v>28</v>
      </c>
      <c r="B17" s="62">
        <f>1-B16</f>
        <v>5.0000000000000044E-2</v>
      </c>
      <c r="C17" s="62"/>
      <c r="D17" s="62"/>
      <c r="E17" s="62"/>
      <c r="F17" s="62"/>
      <c r="G17" s="62"/>
      <c r="H17" s="13"/>
    </row>
    <row r="18" spans="1:8">
      <c r="A18" s="1" t="s">
        <v>56</v>
      </c>
      <c r="B18" s="62">
        <v>0.6</v>
      </c>
      <c r="C18" s="62"/>
      <c r="D18" s="62"/>
      <c r="E18" s="62"/>
      <c r="F18" s="62"/>
      <c r="G18" s="62"/>
      <c r="H18" s="13"/>
    </row>
    <row r="19" spans="1:8">
      <c r="A19" s="1" t="s">
        <v>57</v>
      </c>
      <c r="B19" s="62">
        <v>0.8</v>
      </c>
      <c r="C19" s="62"/>
      <c r="D19" s="62"/>
      <c r="E19" s="62"/>
      <c r="F19" s="62"/>
      <c r="G19" s="62"/>
      <c r="H19" s="13"/>
    </row>
    <row r="20" spans="1:8" ht="18" customHeight="1">
      <c r="A20" s="90" t="s">
        <v>58</v>
      </c>
      <c r="B20" s="91"/>
      <c r="C20" s="91"/>
      <c r="D20" s="91"/>
      <c r="E20" s="91"/>
      <c r="F20" s="91"/>
      <c r="G20" s="91"/>
      <c r="H20" s="95"/>
    </row>
    <row r="21" spans="1:8" ht="18" customHeight="1">
      <c r="A21" s="14" t="s">
        <v>3</v>
      </c>
      <c r="B21" s="15" t="s">
        <v>59</v>
      </c>
      <c r="C21" s="15" t="s">
        <v>60</v>
      </c>
      <c r="D21" s="15" t="s">
        <v>61</v>
      </c>
      <c r="E21" s="15" t="s">
        <v>62</v>
      </c>
      <c r="F21" s="15" t="s">
        <v>63</v>
      </c>
      <c r="G21" s="15" t="s">
        <v>64</v>
      </c>
      <c r="H21" s="16" t="s">
        <v>65</v>
      </c>
    </row>
    <row r="22" spans="1:8">
      <c r="A22" s="1" t="s">
        <v>66</v>
      </c>
      <c r="B22" s="64">
        <f>'Source Data'!B104</f>
        <v>200</v>
      </c>
      <c r="C22" s="64">
        <f>'Source Data'!C104</f>
        <v>300</v>
      </c>
      <c r="D22" s="64">
        <f>'Source Data'!D104</f>
        <v>330</v>
      </c>
      <c r="E22" s="64">
        <f>'Source Data'!E104</f>
        <v>420</v>
      </c>
      <c r="F22" s="64">
        <f>'Source Data'!F104</f>
        <v>400</v>
      </c>
      <c r="G22" s="64">
        <f>'Source Data'!G104</f>
        <v>41</v>
      </c>
      <c r="H22" s="13"/>
    </row>
    <row r="23" spans="1:8">
      <c r="A23" s="1" t="s">
        <v>38</v>
      </c>
      <c r="B23" s="60">
        <f>'Source Data'!B105</f>
        <v>1.4999999999999999E-2</v>
      </c>
      <c r="C23" s="60">
        <f>'Source Data'!C105</f>
        <v>1.9400000000000001E-2</v>
      </c>
      <c r="D23" s="60">
        <f>'Source Data'!D105</f>
        <v>6.0499999999999998E-2</v>
      </c>
      <c r="E23" s="60">
        <f>'Source Data'!E105</f>
        <v>5.8099999999999999E-2</v>
      </c>
      <c r="F23" s="60">
        <f>'Source Data'!F105</f>
        <v>5.5300000000000002E-2</v>
      </c>
      <c r="G23" s="60">
        <f>'Source Data'!G105</f>
        <v>5.5E-2</v>
      </c>
      <c r="H23" s="13"/>
    </row>
    <row r="24" spans="1:8">
      <c r="A24" s="1" t="s">
        <v>47</v>
      </c>
      <c r="B24" s="55">
        <f>'Source Data'!B101</f>
        <v>98040</v>
      </c>
      <c r="C24" s="55">
        <f>'Source Data'!C101</f>
        <v>98040</v>
      </c>
      <c r="D24" s="55">
        <f>'Source Data'!D101</f>
        <v>98040</v>
      </c>
      <c r="E24" s="55">
        <f>'Source Data'!E101</f>
        <v>98040</v>
      </c>
      <c r="F24" s="55">
        <f>'Source Data'!F101</f>
        <v>98040</v>
      </c>
      <c r="G24" s="55">
        <f>'Source Data'!G101</f>
        <v>980400</v>
      </c>
      <c r="H24" s="26"/>
    </row>
    <row r="25" spans="1:8">
      <c r="A25" s="1" t="s">
        <v>67</v>
      </c>
      <c r="B25" s="65">
        <f t="shared" ref="B25:G25" si="0">B22*B24</f>
        <v>19608000</v>
      </c>
      <c r="C25" s="65">
        <f t="shared" si="0"/>
        <v>29412000</v>
      </c>
      <c r="D25" s="65">
        <f t="shared" si="0"/>
        <v>32353200</v>
      </c>
      <c r="E25" s="65">
        <f t="shared" si="0"/>
        <v>41176800</v>
      </c>
      <c r="F25" s="65">
        <f t="shared" si="0"/>
        <v>39216000</v>
      </c>
      <c r="G25" s="65">
        <f t="shared" si="0"/>
        <v>40196400</v>
      </c>
      <c r="H25" s="13"/>
    </row>
    <row r="26" spans="1:8" ht="18" customHeight="1">
      <c r="A26" s="90" t="s">
        <v>68</v>
      </c>
      <c r="B26" s="91"/>
      <c r="C26" s="91"/>
      <c r="D26" s="91"/>
      <c r="E26" s="91"/>
      <c r="F26" s="91"/>
      <c r="G26" s="91"/>
      <c r="H26" s="95"/>
    </row>
    <row r="27" spans="1:8" ht="18" customHeight="1">
      <c r="A27" s="14" t="s">
        <v>3</v>
      </c>
      <c r="B27" s="15" t="s">
        <v>4</v>
      </c>
      <c r="C27" s="15" t="s">
        <v>20</v>
      </c>
      <c r="D27" s="15" t="s">
        <v>21</v>
      </c>
      <c r="E27" s="15" t="s">
        <v>22</v>
      </c>
      <c r="F27" s="15" t="s">
        <v>5</v>
      </c>
      <c r="G27" s="15"/>
      <c r="H27" s="16" t="s">
        <v>65</v>
      </c>
    </row>
    <row r="28" spans="1:8">
      <c r="A28" s="1" t="s">
        <v>23</v>
      </c>
      <c r="B28" s="62">
        <v>5.5E-2</v>
      </c>
      <c r="C28" s="62">
        <v>5.3499999999999999E-2</v>
      </c>
      <c r="D28" s="62">
        <v>5.1999999999999998E-2</v>
      </c>
      <c r="E28" s="62">
        <v>5.0500000000000003E-2</v>
      </c>
      <c r="F28" s="62">
        <v>4.9000000000000002E-2</v>
      </c>
      <c r="G28" s="62"/>
      <c r="H28" s="13"/>
    </row>
    <row r="29" spans="1:8">
      <c r="A29" s="1" t="s">
        <v>24</v>
      </c>
      <c r="B29" s="62">
        <v>3.5000000000000003E-2</v>
      </c>
      <c r="C29" s="62">
        <v>3.2000000000000001E-2</v>
      </c>
      <c r="D29" s="62">
        <v>2.9000000000000001E-2</v>
      </c>
      <c r="E29" s="62">
        <v>2.5999999999999999E-2</v>
      </c>
      <c r="F29" s="62">
        <v>2.3E-2</v>
      </c>
      <c r="G29" s="62"/>
      <c r="H29" s="13"/>
    </row>
    <row r="30" spans="1:8">
      <c r="A30" s="1" t="s">
        <v>25</v>
      </c>
      <c r="B30" s="62">
        <v>0.23699999999999999</v>
      </c>
      <c r="C30" s="62">
        <v>0.23799999999999999</v>
      </c>
      <c r="D30" s="62">
        <v>0.23899999999999999</v>
      </c>
      <c r="E30" s="62">
        <v>0.24</v>
      </c>
      <c r="F30" s="62">
        <v>0.24</v>
      </c>
      <c r="G30" s="62"/>
      <c r="H30" s="13"/>
    </row>
    <row r="31" spans="1:8">
      <c r="A31" s="1" t="s">
        <v>69</v>
      </c>
      <c r="B31" s="62">
        <v>0.1</v>
      </c>
      <c r="C31" s="62">
        <v>0.09</v>
      </c>
      <c r="D31" s="62">
        <v>0.08</v>
      </c>
      <c r="E31" s="62">
        <v>7.0000000000000007E-2</v>
      </c>
      <c r="F31" s="62">
        <v>0.06</v>
      </c>
      <c r="G31" s="62"/>
      <c r="H31" s="13"/>
    </row>
    <row r="32" spans="1:8">
      <c r="A32" s="1" t="s">
        <v>70</v>
      </c>
      <c r="B32" s="62">
        <v>8.0000000000000004E-4</v>
      </c>
      <c r="C32" s="62">
        <v>8.0000000000000004E-4</v>
      </c>
      <c r="D32" s="62">
        <v>8.0000000000000004E-4</v>
      </c>
      <c r="E32" s="62">
        <v>8.0000000000000004E-4</v>
      </c>
      <c r="F32" s="62">
        <v>8.0000000000000004E-4</v>
      </c>
      <c r="G32" s="62"/>
      <c r="H32" s="13"/>
    </row>
    <row r="33" spans="1:8">
      <c r="A33" s="1" t="s">
        <v>71</v>
      </c>
      <c r="B33" s="62">
        <v>1.4999999999999999E-2</v>
      </c>
      <c r="C33" s="62">
        <v>1.4999999999999999E-2</v>
      </c>
      <c r="D33" s="62">
        <v>1.4999999999999999E-2</v>
      </c>
      <c r="E33" s="62">
        <v>1.4999999999999999E-2</v>
      </c>
      <c r="F33" s="62">
        <v>1.4999999999999999E-2</v>
      </c>
      <c r="G33" s="62"/>
      <c r="H33" s="13"/>
    </row>
    <row r="34" spans="1:8">
      <c r="A34" s="1" t="s">
        <v>72</v>
      </c>
      <c r="B34" s="62">
        <v>0.16470000000000001</v>
      </c>
      <c r="C34" s="62">
        <v>0.1636</v>
      </c>
      <c r="D34" s="62">
        <v>0.16250000000000001</v>
      </c>
      <c r="E34" s="62">
        <v>0.16139999999999999</v>
      </c>
      <c r="F34" s="62">
        <v>0.1603</v>
      </c>
      <c r="G34" s="62"/>
      <c r="H34" s="13"/>
    </row>
    <row r="35" spans="1:8">
      <c r="A35" s="1" t="s">
        <v>26</v>
      </c>
      <c r="B35" s="62">
        <v>6.0999999999999999E-2</v>
      </c>
      <c r="C35" s="62">
        <v>5.2999999999999999E-2</v>
      </c>
      <c r="D35" s="62">
        <v>4.4999999999999998E-2</v>
      </c>
      <c r="E35" s="62">
        <v>3.6999999999999998E-2</v>
      </c>
      <c r="F35" s="62">
        <v>2.9000000000000001E-2</v>
      </c>
      <c r="G35" s="62"/>
      <c r="H35" s="13"/>
    </row>
    <row r="36" spans="1:8">
      <c r="A36" s="1" t="s">
        <v>73</v>
      </c>
      <c r="B36" s="66">
        <v>50</v>
      </c>
      <c r="C36" s="66">
        <v>50</v>
      </c>
      <c r="D36" s="66">
        <v>49.5</v>
      </c>
      <c r="E36" s="66">
        <v>49</v>
      </c>
      <c r="F36" s="66">
        <v>48.5</v>
      </c>
      <c r="G36" s="63"/>
      <c r="H36" s="13"/>
    </row>
    <row r="37" spans="1:8">
      <c r="A37" s="1" t="s">
        <v>74</v>
      </c>
      <c r="B37" s="66">
        <v>4</v>
      </c>
      <c r="C37" s="66">
        <v>4</v>
      </c>
      <c r="D37" s="66">
        <v>4</v>
      </c>
      <c r="E37" s="66">
        <v>4</v>
      </c>
      <c r="F37" s="66">
        <v>4</v>
      </c>
      <c r="G37" s="63"/>
      <c r="H37" s="13"/>
    </row>
    <row r="38" spans="1:8">
      <c r="A38" s="1" t="s">
        <v>75</v>
      </c>
      <c r="B38" s="66">
        <v>74</v>
      </c>
      <c r="C38" s="66">
        <v>74</v>
      </c>
      <c r="D38" s="66">
        <v>73.5</v>
      </c>
      <c r="E38" s="66">
        <v>73</v>
      </c>
      <c r="F38" s="66">
        <v>72.5</v>
      </c>
      <c r="G38" s="63"/>
    </row>
    <row r="39" spans="1:8" ht="18" customHeight="1">
      <c r="A39" s="94" t="s">
        <v>76</v>
      </c>
      <c r="B39" s="92"/>
      <c r="C39" s="92"/>
      <c r="D39" s="92"/>
      <c r="E39" s="92"/>
      <c r="F39" s="92"/>
      <c r="G39" s="92"/>
      <c r="H39" s="92"/>
    </row>
    <row r="40" spans="1:8" ht="18" customHeight="1">
      <c r="A40" s="14" t="s">
        <v>3</v>
      </c>
      <c r="B40" s="15" t="s">
        <v>4</v>
      </c>
      <c r="C40" s="15" t="s">
        <v>20</v>
      </c>
      <c r="D40" s="15" t="s">
        <v>21</v>
      </c>
      <c r="E40" s="15" t="s">
        <v>22</v>
      </c>
      <c r="F40" s="15" t="s">
        <v>5</v>
      </c>
      <c r="G40" s="15"/>
      <c r="H40" s="15" t="s">
        <v>65</v>
      </c>
    </row>
    <row r="41" spans="1:8">
      <c r="A41" s="1" t="s">
        <v>77</v>
      </c>
      <c r="B41" s="62">
        <v>0.95</v>
      </c>
      <c r="C41" s="62">
        <v>0.95</v>
      </c>
      <c r="D41" s="62">
        <v>0.95</v>
      </c>
      <c r="E41" s="62">
        <v>0.95</v>
      </c>
      <c r="F41" s="62">
        <v>0.95</v>
      </c>
      <c r="G41" s="62"/>
    </row>
    <row r="42" spans="1:8">
      <c r="A42" s="1" t="s">
        <v>78</v>
      </c>
      <c r="B42" s="62">
        <v>0.05</v>
      </c>
      <c r="C42" s="62">
        <v>0.05</v>
      </c>
      <c r="D42" s="62">
        <v>0.05</v>
      </c>
      <c r="E42" s="62">
        <v>0.05</v>
      </c>
      <c r="F42" s="62">
        <v>0.05</v>
      </c>
      <c r="G42" s="62"/>
    </row>
    <row r="43" spans="1:8">
      <c r="A43" s="1" t="s">
        <v>79</v>
      </c>
      <c r="B43" s="62">
        <v>0.95</v>
      </c>
      <c r="C43" s="62">
        <v>0.95</v>
      </c>
      <c r="D43" s="62">
        <v>0.95</v>
      </c>
      <c r="E43" s="62">
        <v>0.95</v>
      </c>
      <c r="F43" s="62">
        <v>0.95</v>
      </c>
      <c r="G43" s="62"/>
    </row>
    <row r="44" spans="1:8">
      <c r="A44" s="1" t="s">
        <v>80</v>
      </c>
      <c r="B44" s="62">
        <v>0.05</v>
      </c>
      <c r="C44" s="62">
        <v>0.05</v>
      </c>
      <c r="D44" s="62">
        <v>0.05</v>
      </c>
      <c r="E44" s="62">
        <v>0.05</v>
      </c>
      <c r="F44" s="62">
        <v>0.05</v>
      </c>
      <c r="G44" s="62"/>
    </row>
    <row r="45" spans="1:8" ht="18" customHeight="1">
      <c r="A45" s="94" t="s">
        <v>81</v>
      </c>
      <c r="B45" s="92"/>
      <c r="C45" s="92"/>
      <c r="D45" s="92"/>
      <c r="E45" s="92"/>
      <c r="F45" s="92"/>
      <c r="G45" s="92"/>
      <c r="H45" s="92"/>
    </row>
    <row r="46" spans="1:8" ht="18" customHeight="1">
      <c r="A46" s="14" t="s">
        <v>3</v>
      </c>
      <c r="B46" s="15" t="s">
        <v>4</v>
      </c>
      <c r="C46" s="15" t="s">
        <v>20</v>
      </c>
      <c r="D46" s="15" t="s">
        <v>21</v>
      </c>
      <c r="E46" s="15" t="s">
        <v>22</v>
      </c>
      <c r="F46" s="15" t="s">
        <v>5</v>
      </c>
      <c r="G46" s="15"/>
      <c r="H46" s="15" t="s">
        <v>65</v>
      </c>
    </row>
    <row r="47" spans="1:8">
      <c r="A47" s="1" t="s">
        <v>82</v>
      </c>
      <c r="B47" s="67">
        <v>-10000</v>
      </c>
      <c r="C47" s="67">
        <v>-10000</v>
      </c>
      <c r="D47" s="67">
        <v>-10000</v>
      </c>
      <c r="E47" s="67">
        <v>-10000</v>
      </c>
      <c r="F47" s="67">
        <v>-10000</v>
      </c>
      <c r="G47" s="63"/>
    </row>
    <row r="48" spans="1:8">
      <c r="A48" s="1" t="s">
        <v>83</v>
      </c>
      <c r="B48" s="62">
        <v>0.33</v>
      </c>
      <c r="C48" s="62">
        <v>0.33</v>
      </c>
      <c r="D48" s="62">
        <v>0.33</v>
      </c>
      <c r="E48" s="62">
        <v>0.33</v>
      </c>
      <c r="F48" s="62">
        <v>0.33</v>
      </c>
      <c r="G48" s="62"/>
    </row>
    <row r="49" spans="1:11">
      <c r="A49" s="1" t="s">
        <v>84</v>
      </c>
      <c r="B49" s="68">
        <f>('Source Data'!G48-'Source Data'!F48)*(1+'Operating Drivers'!H7)</f>
        <v>29736.300000000003</v>
      </c>
      <c r="C49" s="68">
        <f>B49*(1+'Operating Drivers'!I7)</f>
        <v>32412.567000000006</v>
      </c>
      <c r="D49" s="68">
        <f>C49*(1+'Operating Drivers'!J7)</f>
        <v>35005.572360000006</v>
      </c>
      <c r="E49" s="68">
        <f>D49*(1+'Operating Drivers'!K7)</f>
        <v>37455.962425200007</v>
      </c>
      <c r="F49" s="68">
        <f>E49*(1+'Operating Drivers'!L7)</f>
        <v>39703.32017071201</v>
      </c>
      <c r="G49" s="63"/>
    </row>
    <row r="50" spans="1:11">
      <c r="A50" s="1" t="s">
        <v>85</v>
      </c>
      <c r="B50" s="62">
        <v>0.21</v>
      </c>
      <c r="C50" s="62">
        <v>0.21</v>
      </c>
      <c r="D50" s="62">
        <v>0.21</v>
      </c>
      <c r="E50" s="62">
        <v>0.21</v>
      </c>
      <c r="F50" s="62">
        <v>0.21</v>
      </c>
      <c r="G50" s="62"/>
    </row>
    <row r="51" spans="1:11">
      <c r="A51" s="1" t="s">
        <v>86</v>
      </c>
      <c r="B51" s="67">
        <v>-170000</v>
      </c>
      <c r="C51" s="66">
        <v>0</v>
      </c>
      <c r="D51" s="66">
        <v>0</v>
      </c>
      <c r="E51" s="66">
        <v>0</v>
      </c>
      <c r="F51" s="66">
        <v>0</v>
      </c>
      <c r="G51" s="63"/>
      <c r="H51" t="s">
        <v>87</v>
      </c>
    </row>
    <row r="52" spans="1:11">
      <c r="A52" s="1" t="s">
        <v>88</v>
      </c>
      <c r="B52" s="62">
        <v>0.25</v>
      </c>
      <c r="C52" s="62">
        <v>0.25</v>
      </c>
      <c r="D52" s="62">
        <v>0.25</v>
      </c>
      <c r="E52" s="62">
        <v>0.25</v>
      </c>
      <c r="F52" s="62">
        <v>0.25</v>
      </c>
      <c r="G52" s="62"/>
      <c r="H52" s="7"/>
    </row>
    <row r="53" spans="1:11">
      <c r="A53" s="1" t="s">
        <v>89</v>
      </c>
      <c r="B53" s="62">
        <v>7.0000000000000007E-2</v>
      </c>
      <c r="C53" s="62">
        <v>7.0000000000000007E-2</v>
      </c>
      <c r="D53" s="62">
        <v>7.0000000000000007E-2</v>
      </c>
      <c r="E53" s="62">
        <v>7.0000000000000007E-2</v>
      </c>
      <c r="F53" s="62">
        <v>7.0000000000000007E-2</v>
      </c>
      <c r="G53" s="62"/>
    </row>
    <row r="54" spans="1:11">
      <c r="A54" s="1" t="s">
        <v>90</v>
      </c>
      <c r="B54" s="62">
        <v>1.0999999999999999E-2</v>
      </c>
      <c r="C54" s="62">
        <v>1.0999999999999999E-2</v>
      </c>
      <c r="D54" s="62">
        <v>1.0999999999999999E-2</v>
      </c>
      <c r="E54" s="62">
        <v>1.0999999999999999E-2</v>
      </c>
      <c r="F54" s="62">
        <v>1.0999999999999999E-2</v>
      </c>
      <c r="G54" s="62"/>
    </row>
    <row r="55" spans="1:11">
      <c r="A55" s="1" t="s">
        <v>91</v>
      </c>
      <c r="B55" s="62">
        <v>5.0000000000000001E-4</v>
      </c>
      <c r="C55" s="62">
        <v>5.0000000000000001E-4</v>
      </c>
      <c r="D55" s="62">
        <v>5.0000000000000001E-4</v>
      </c>
      <c r="E55" s="62">
        <v>5.0000000000000001E-4</v>
      </c>
      <c r="F55" s="62">
        <v>5.0000000000000001E-4</v>
      </c>
      <c r="G55" s="62"/>
    </row>
    <row r="56" spans="1:11">
      <c r="A56" s="1" t="s">
        <v>92</v>
      </c>
      <c r="B56" s="62">
        <v>0</v>
      </c>
      <c r="C56" s="62">
        <v>0</v>
      </c>
      <c r="D56" s="62">
        <v>0</v>
      </c>
      <c r="E56" s="62">
        <v>0</v>
      </c>
      <c r="F56" s="62">
        <v>0</v>
      </c>
      <c r="G56" s="62"/>
    </row>
    <row r="57" spans="1:11">
      <c r="A57" s="1" t="s">
        <v>93</v>
      </c>
      <c r="B57" s="67">
        <v>0</v>
      </c>
      <c r="C57" s="67">
        <v>0</v>
      </c>
      <c r="D57" s="67">
        <v>0</v>
      </c>
      <c r="E57" s="67">
        <v>0</v>
      </c>
      <c r="F57" s="67">
        <v>0</v>
      </c>
      <c r="G57" s="62"/>
      <c r="I57" s="7"/>
      <c r="J57" s="7"/>
      <c r="K57" s="7"/>
    </row>
    <row r="58" spans="1:11">
      <c r="A58" s="1" t="s">
        <v>94</v>
      </c>
      <c r="B58" s="62">
        <v>0</v>
      </c>
      <c r="C58" s="62">
        <v>0</v>
      </c>
      <c r="D58" s="62">
        <v>0</v>
      </c>
      <c r="E58" s="62">
        <v>0</v>
      </c>
      <c r="F58" s="62">
        <v>0</v>
      </c>
      <c r="G58" s="62"/>
    </row>
    <row r="59" spans="1:11">
      <c r="A59" s="1" t="s">
        <v>95</v>
      </c>
      <c r="B59" s="62">
        <v>0</v>
      </c>
      <c r="C59" s="62">
        <v>0</v>
      </c>
      <c r="D59" s="62">
        <v>0</v>
      </c>
      <c r="E59" s="62">
        <v>0</v>
      </c>
      <c r="F59" s="62">
        <v>0</v>
      </c>
      <c r="G59" s="62"/>
    </row>
  </sheetData>
  <mergeCells count="4">
    <mergeCell ref="A1:H1"/>
    <mergeCell ref="A2:H2"/>
    <mergeCell ref="A20:H20"/>
    <mergeCell ref="A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5"/>
  <sheetViews>
    <sheetView showGridLines="0" topLeftCell="A70" zoomScale="66" zoomScaleNormal="97" workbookViewId="0">
      <selection activeCell="B99" sqref="B99"/>
    </sheetView>
  </sheetViews>
  <sheetFormatPr defaultRowHeight="13.9"/>
  <cols>
    <col min="1" max="1" width="56.875" customWidth="1"/>
    <col min="2" max="7" width="13" customWidth="1"/>
  </cols>
  <sheetData>
    <row r="1" spans="1:7" ht="22.15" customHeight="1">
      <c r="A1" s="85" t="s">
        <v>96</v>
      </c>
      <c r="B1" s="86"/>
      <c r="C1" s="86"/>
      <c r="D1" s="86"/>
      <c r="E1" s="86"/>
      <c r="F1" s="86"/>
      <c r="G1" s="86"/>
    </row>
    <row r="2" spans="1:7" ht="30" customHeight="1">
      <c r="A2" s="83"/>
      <c r="B2" s="84"/>
      <c r="C2" s="84"/>
      <c r="D2" s="84"/>
      <c r="E2" s="84"/>
      <c r="F2" s="84"/>
      <c r="G2" s="84"/>
    </row>
    <row r="3" spans="1:7" s="34" customFormat="1" ht="18" customHeight="1">
      <c r="A3" s="96" t="s">
        <v>97</v>
      </c>
      <c r="B3" s="96"/>
      <c r="C3" s="96"/>
      <c r="D3" s="96"/>
      <c r="E3" s="96"/>
      <c r="F3" s="96"/>
      <c r="G3" s="96"/>
    </row>
    <row r="4" spans="1:7" s="34" customFormat="1" ht="18" customHeight="1">
      <c r="A4" s="97" t="s">
        <v>98</v>
      </c>
      <c r="B4" s="97">
        <v>2020</v>
      </c>
      <c r="C4" s="97">
        <v>2021</v>
      </c>
      <c r="D4" s="97">
        <v>2022</v>
      </c>
      <c r="E4" s="97">
        <v>2023</v>
      </c>
      <c r="F4" s="97">
        <v>2024</v>
      </c>
      <c r="G4" s="97">
        <v>2025</v>
      </c>
    </row>
    <row r="5" spans="1:7" s="34" customFormat="1">
      <c r="A5" s="38" t="s">
        <v>31</v>
      </c>
      <c r="B5" s="67">
        <v>10125815</v>
      </c>
      <c r="C5" s="67">
        <v>13362012</v>
      </c>
      <c r="D5" s="67">
        <v>19801622</v>
      </c>
      <c r="E5" s="67">
        <v>25666255</v>
      </c>
      <c r="F5" s="67">
        <v>29273792</v>
      </c>
      <c r="G5" s="67">
        <v>33634155</v>
      </c>
    </row>
    <row r="6" spans="1:7" s="34" customFormat="1">
      <c r="A6" s="38" t="s">
        <v>99</v>
      </c>
      <c r="B6" s="67">
        <v>-7521986</v>
      </c>
      <c r="C6" s="67">
        <v>-10038342</v>
      </c>
      <c r="D6" s="67">
        <v>-15038630</v>
      </c>
      <c r="E6" s="67">
        <v>-19741459</v>
      </c>
      <c r="F6" s="67">
        <v>-22463233</v>
      </c>
      <c r="G6" s="67">
        <v>-25723078</v>
      </c>
    </row>
    <row r="7" spans="1:7" s="34" customFormat="1">
      <c r="A7" s="38" t="s">
        <v>100</v>
      </c>
      <c r="B7" s="67">
        <v>2603829</v>
      </c>
      <c r="C7" s="67">
        <v>3323670</v>
      </c>
      <c r="D7" s="67">
        <v>4762992</v>
      </c>
      <c r="E7" s="67">
        <v>5924796</v>
      </c>
      <c r="F7" s="67">
        <v>6810559</v>
      </c>
      <c r="G7" s="67">
        <v>7911077</v>
      </c>
    </row>
    <row r="8" spans="1:7" s="34" customFormat="1">
      <c r="A8" s="38" t="s">
        <v>101</v>
      </c>
      <c r="B8" s="67">
        <v>7598</v>
      </c>
      <c r="C8" s="67">
        <v>14364</v>
      </c>
      <c r="D8" s="67">
        <v>16282</v>
      </c>
      <c r="E8" s="67">
        <v>13477</v>
      </c>
      <c r="F8" s="67">
        <v>24185</v>
      </c>
      <c r="G8" s="67">
        <v>29231</v>
      </c>
    </row>
    <row r="9" spans="1:7" s="34" customFormat="1">
      <c r="A9" s="38" t="s">
        <v>72</v>
      </c>
      <c r="B9" s="67">
        <v>-1668084</v>
      </c>
      <c r="C9" s="67">
        <v>-2181963</v>
      </c>
      <c r="D9" s="67">
        <v>-3080061</v>
      </c>
      <c r="E9" s="67">
        <v>-3878421</v>
      </c>
      <c r="F9" s="67">
        <v>-4678717</v>
      </c>
      <c r="G9" s="67">
        <v>-5576262</v>
      </c>
    </row>
    <row r="10" spans="1:7" s="34" customFormat="1">
      <c r="A10" s="38" t="s">
        <v>102</v>
      </c>
      <c r="B10" s="67">
        <v>-99783</v>
      </c>
      <c r="C10" s="67">
        <v>-117285</v>
      </c>
      <c r="D10" s="67">
        <v>-143217</v>
      </c>
      <c r="E10" s="67">
        <v>-173736</v>
      </c>
      <c r="F10" s="67">
        <v>-233653</v>
      </c>
      <c r="G10" s="67">
        <v>-302944</v>
      </c>
    </row>
    <row r="11" spans="1:7" s="34" customFormat="1">
      <c r="A11" s="38" t="s">
        <v>103</v>
      </c>
      <c r="B11" s="67">
        <v>-5701</v>
      </c>
      <c r="C11" s="67">
        <v>-14793</v>
      </c>
      <c r="D11" s="67">
        <v>-18177</v>
      </c>
      <c r="E11" s="67">
        <v>-10261</v>
      </c>
      <c r="F11" s="67">
        <v>-14044</v>
      </c>
      <c r="G11" s="67">
        <v>-19820</v>
      </c>
    </row>
    <row r="12" spans="1:7" s="34" customFormat="1">
      <c r="A12" s="38" t="s">
        <v>104</v>
      </c>
      <c r="B12" s="67">
        <v>837859</v>
      </c>
      <c r="C12" s="67">
        <v>1023993</v>
      </c>
      <c r="D12" s="67">
        <v>1537819</v>
      </c>
      <c r="E12" s="67">
        <v>1875855</v>
      </c>
      <c r="F12" s="67">
        <v>1908330</v>
      </c>
      <c r="G12" s="67">
        <v>2041282</v>
      </c>
    </row>
    <row r="13" spans="1:7" s="34" customFormat="1">
      <c r="A13" s="38" t="s">
        <v>105</v>
      </c>
      <c r="B13" s="67">
        <v>3237</v>
      </c>
      <c r="C13" s="67">
        <v>1119</v>
      </c>
      <c r="D13" s="67">
        <v>5092</v>
      </c>
      <c r="E13" s="67">
        <v>10442</v>
      </c>
      <c r="F13" s="67">
        <v>6657</v>
      </c>
      <c r="G13" s="67">
        <v>8316</v>
      </c>
    </row>
    <row r="14" spans="1:7" s="34" customFormat="1">
      <c r="A14" s="38" t="s">
        <v>106</v>
      </c>
      <c r="B14" s="67">
        <v>-30379</v>
      </c>
      <c r="C14" s="67">
        <v>-26155</v>
      </c>
      <c r="D14" s="67">
        <v>-124832</v>
      </c>
      <c r="E14" s="67">
        <v>-127285</v>
      </c>
      <c r="F14" s="67">
        <v>-90957</v>
      </c>
      <c r="G14" s="67">
        <v>-67946</v>
      </c>
    </row>
    <row r="15" spans="1:7" s="34" customFormat="1">
      <c r="A15" s="38" t="s">
        <v>107</v>
      </c>
      <c r="B15" s="67">
        <v>-18139</v>
      </c>
      <c r="C15" s="67">
        <v>-20434</v>
      </c>
      <c r="D15" s="67">
        <v>-15839</v>
      </c>
      <c r="E15" s="67">
        <v>-19600</v>
      </c>
      <c r="F15" s="67">
        <v>-29836</v>
      </c>
      <c r="G15" s="67">
        <v>-54614</v>
      </c>
    </row>
    <row r="16" spans="1:7" s="34" customFormat="1">
      <c r="A16" s="38" t="s">
        <v>108</v>
      </c>
      <c r="B16" s="67">
        <v>-3494</v>
      </c>
      <c r="C16" s="67">
        <v>-56</v>
      </c>
      <c r="D16" s="67">
        <v>-622</v>
      </c>
      <c r="E16" s="67">
        <v>-431</v>
      </c>
      <c r="F16" s="67">
        <v>-560</v>
      </c>
      <c r="G16" s="67">
        <v>-277</v>
      </c>
    </row>
    <row r="17" spans="1:17" s="34" customFormat="1">
      <c r="A17" s="38" t="s">
        <v>92</v>
      </c>
      <c r="B17" s="67">
        <v>-84</v>
      </c>
      <c r="C17" s="67">
        <v>-58</v>
      </c>
      <c r="D17" s="67">
        <v>0</v>
      </c>
      <c r="E17" s="67">
        <v>0</v>
      </c>
      <c r="F17" s="67">
        <v>-71</v>
      </c>
      <c r="G17" s="67">
        <v>-108</v>
      </c>
    </row>
    <row r="18" spans="1:17" s="34" customFormat="1">
      <c r="A18" s="38" t="s">
        <v>109</v>
      </c>
      <c r="B18" s="67">
        <v>-52096</v>
      </c>
      <c r="C18" s="67">
        <v>-46703</v>
      </c>
      <c r="D18" s="67">
        <v>-141293</v>
      </c>
      <c r="E18" s="67">
        <v>-147316</v>
      </c>
      <c r="F18" s="67">
        <v>-121424</v>
      </c>
      <c r="G18" s="67">
        <v>-122945</v>
      </c>
    </row>
    <row r="19" spans="1:17" s="34" customFormat="1">
      <c r="A19" s="38" t="s">
        <v>110</v>
      </c>
      <c r="B19" s="67">
        <v>789000</v>
      </c>
      <c r="C19" s="67">
        <v>978409</v>
      </c>
      <c r="D19" s="67">
        <v>1401618</v>
      </c>
      <c r="E19" s="67">
        <v>1738981</v>
      </c>
      <c r="F19" s="67">
        <v>1793563</v>
      </c>
      <c r="G19" s="67">
        <v>1926653</v>
      </c>
    </row>
    <row r="20" spans="1:17" s="34" customFormat="1">
      <c r="A20" s="38" t="s">
        <v>111</v>
      </c>
      <c r="B20" s="67">
        <v>-145083</v>
      </c>
      <c r="C20" s="67">
        <v>-173106</v>
      </c>
      <c r="D20" s="67">
        <v>-269531</v>
      </c>
      <c r="E20" s="67">
        <v>-333654</v>
      </c>
      <c r="F20" s="67">
        <v>-287834</v>
      </c>
      <c r="G20" s="67">
        <v>-367856</v>
      </c>
    </row>
    <row r="21" spans="1:17" s="34" customFormat="1">
      <c r="A21" s="38" t="s">
        <v>112</v>
      </c>
      <c r="B21" s="67">
        <v>643917</v>
      </c>
      <c r="C21" s="67">
        <v>805303</v>
      </c>
      <c r="D21" s="67">
        <v>1132087</v>
      </c>
      <c r="E21" s="67">
        <v>1405327</v>
      </c>
      <c r="F21" s="67">
        <v>1505729</v>
      </c>
      <c r="G21" s="67">
        <v>1558797</v>
      </c>
    </row>
    <row r="22" spans="1:17" s="34" customFormat="1">
      <c r="A22" s="38" t="s">
        <v>113</v>
      </c>
      <c r="B22" s="67">
        <v>643917</v>
      </c>
      <c r="C22" s="67">
        <v>805303</v>
      </c>
      <c r="D22" s="67">
        <v>1132087</v>
      </c>
      <c r="E22" s="67">
        <v>1405327</v>
      </c>
      <c r="F22" s="67">
        <v>1504980</v>
      </c>
      <c r="G22" s="67">
        <v>1558360</v>
      </c>
      <c r="K22" s="35"/>
      <c r="L22" s="36"/>
      <c r="M22" s="36"/>
      <c r="N22" s="36"/>
      <c r="O22" s="36"/>
      <c r="P22" s="36"/>
      <c r="Q22" s="36"/>
    </row>
    <row r="23" spans="1:17" s="34" customFormat="1">
      <c r="A23" s="38" t="s">
        <v>114</v>
      </c>
      <c r="B23" s="67">
        <v>0</v>
      </c>
      <c r="C23" s="67">
        <v>0</v>
      </c>
      <c r="D23" s="67">
        <v>0</v>
      </c>
      <c r="E23" s="67">
        <v>0</v>
      </c>
      <c r="F23" s="67">
        <v>749</v>
      </c>
      <c r="G23" s="67">
        <v>437</v>
      </c>
      <c r="K23" s="35"/>
      <c r="L23" s="37"/>
      <c r="M23" s="37"/>
      <c r="N23" s="37"/>
      <c r="O23" s="37"/>
      <c r="P23" s="37"/>
      <c r="Q23" s="37"/>
    </row>
    <row r="24" spans="1:17" s="34" customFormat="1" ht="18" customHeight="1">
      <c r="A24" s="98" t="s">
        <v>115</v>
      </c>
      <c r="B24" s="98"/>
      <c r="C24" s="98"/>
      <c r="D24" s="98"/>
      <c r="E24" s="98"/>
      <c r="F24" s="98"/>
      <c r="G24" s="98"/>
      <c r="K24" s="35"/>
      <c r="L24" s="37"/>
      <c r="M24" s="37"/>
      <c r="N24" s="37"/>
      <c r="O24" s="37"/>
      <c r="P24" s="37"/>
      <c r="Q24" s="37"/>
    </row>
    <row r="25" spans="1:17" s="34" customFormat="1" ht="18" customHeight="1">
      <c r="A25" s="97" t="s">
        <v>98</v>
      </c>
      <c r="B25" s="97">
        <v>2020</v>
      </c>
      <c r="C25" s="97">
        <v>2021</v>
      </c>
      <c r="D25" s="97">
        <v>2022</v>
      </c>
      <c r="E25" s="97">
        <v>2023</v>
      </c>
      <c r="F25" s="97">
        <v>2024</v>
      </c>
      <c r="G25" s="97">
        <v>2025</v>
      </c>
      <c r="K25" s="35"/>
      <c r="L25" s="37"/>
      <c r="M25" s="37"/>
      <c r="N25" s="37"/>
      <c r="O25" s="37"/>
      <c r="P25" s="37"/>
      <c r="Q25" s="37"/>
    </row>
    <row r="26" spans="1:17" s="34" customFormat="1">
      <c r="A26" s="38" t="s">
        <v>116</v>
      </c>
      <c r="B26" s="67">
        <v>3749480</v>
      </c>
      <c r="C26" s="67">
        <v>4911353</v>
      </c>
      <c r="D26" s="67">
        <v>6070032</v>
      </c>
      <c r="E26" s="67">
        <v>6874672</v>
      </c>
      <c r="F26" s="67">
        <v>8230915</v>
      </c>
      <c r="G26" s="67">
        <v>9774681</v>
      </c>
    </row>
    <row r="27" spans="1:17" s="34" customFormat="1">
      <c r="A27" s="38" t="s">
        <v>117</v>
      </c>
      <c r="B27" s="67">
        <v>184538</v>
      </c>
      <c r="C27" s="67">
        <v>139931</v>
      </c>
      <c r="D27" s="67">
        <v>105116</v>
      </c>
      <c r="E27" s="67">
        <v>93499</v>
      </c>
      <c r="F27" s="67">
        <v>141350</v>
      </c>
      <c r="G27" s="67">
        <v>217006</v>
      </c>
    </row>
    <row r="28" spans="1:17" s="34" customFormat="1">
      <c r="A28" s="38" t="s">
        <v>118</v>
      </c>
      <c r="B28" s="67">
        <v>99050</v>
      </c>
      <c r="C28" s="67">
        <v>96947</v>
      </c>
      <c r="D28" s="67">
        <v>94737</v>
      </c>
      <c r="E28" s="67">
        <v>115056</v>
      </c>
      <c r="F28" s="67">
        <v>169964</v>
      </c>
      <c r="G28" s="67">
        <v>176185</v>
      </c>
    </row>
    <row r="29" spans="1:17" s="34" customFormat="1">
      <c r="A29" s="38" t="s">
        <v>119</v>
      </c>
      <c r="B29" s="67">
        <v>6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</row>
    <row r="30" spans="1:17" s="34" customFormat="1">
      <c r="A30" s="38" t="s">
        <v>120</v>
      </c>
      <c r="B30" s="67">
        <v>20738</v>
      </c>
      <c r="C30" s="67">
        <v>35116</v>
      </c>
      <c r="D30" s="67">
        <v>26468</v>
      </c>
      <c r="E30" s="67">
        <v>41323</v>
      </c>
      <c r="F30" s="67">
        <v>74149</v>
      </c>
      <c r="G30" s="67">
        <v>31376</v>
      </c>
    </row>
    <row r="31" spans="1:17" s="34" customFormat="1">
      <c r="A31" s="38" t="s">
        <v>121</v>
      </c>
      <c r="B31" s="67">
        <v>4053812</v>
      </c>
      <c r="C31" s="67">
        <v>5183347</v>
      </c>
      <c r="D31" s="67">
        <v>6296353</v>
      </c>
      <c r="E31" s="67">
        <v>7124550</v>
      </c>
      <c r="F31" s="67">
        <v>8616378</v>
      </c>
      <c r="G31" s="67">
        <v>10199248</v>
      </c>
    </row>
    <row r="32" spans="1:17" s="34" customFormat="1">
      <c r="A32" s="38" t="s">
        <v>122</v>
      </c>
      <c r="B32" s="67">
        <v>875147</v>
      </c>
      <c r="C32" s="67">
        <v>1373463</v>
      </c>
      <c r="D32" s="67">
        <v>1978778</v>
      </c>
      <c r="E32" s="67">
        <v>2638859</v>
      </c>
      <c r="F32" s="67">
        <v>3081444</v>
      </c>
      <c r="G32" s="67">
        <v>3548100</v>
      </c>
    </row>
    <row r="33" spans="1:7" s="34" customFormat="1">
      <c r="A33" s="38" t="s">
        <v>123</v>
      </c>
      <c r="B33" s="67">
        <v>86822</v>
      </c>
      <c r="C33" s="67">
        <v>144012</v>
      </c>
      <c r="D33" s="67">
        <v>274872</v>
      </c>
      <c r="E33" s="67">
        <v>330389</v>
      </c>
      <c r="F33" s="67">
        <v>376480</v>
      </c>
      <c r="G33" s="67">
        <v>372038</v>
      </c>
    </row>
    <row r="34" spans="1:7" s="34" customFormat="1">
      <c r="A34" s="38" t="s">
        <v>124</v>
      </c>
      <c r="B34" s="67">
        <v>2</v>
      </c>
      <c r="C34" s="67">
        <v>55</v>
      </c>
      <c r="D34" s="67">
        <v>0</v>
      </c>
      <c r="E34" s="67">
        <v>103</v>
      </c>
      <c r="F34" s="67">
        <v>220</v>
      </c>
      <c r="G34" s="67">
        <v>18596</v>
      </c>
    </row>
    <row r="35" spans="1:7" s="34" customFormat="1">
      <c r="A35" s="38" t="s">
        <v>125</v>
      </c>
      <c r="B35" s="67">
        <v>73367</v>
      </c>
      <c r="C35" s="67">
        <v>47712</v>
      </c>
      <c r="D35" s="67">
        <v>69096</v>
      </c>
      <c r="E35" s="67">
        <v>64049</v>
      </c>
      <c r="F35" s="67">
        <v>88186</v>
      </c>
      <c r="G35" s="67">
        <v>76477</v>
      </c>
    </row>
    <row r="36" spans="1:7" s="34" customFormat="1">
      <c r="A36" s="38" t="s">
        <v>126</v>
      </c>
      <c r="B36" s="67">
        <v>942</v>
      </c>
      <c r="C36" s="67">
        <v>1327</v>
      </c>
      <c r="D36" s="67">
        <v>1242</v>
      </c>
      <c r="E36" s="67">
        <v>1376</v>
      </c>
      <c r="F36" s="67">
        <v>2064</v>
      </c>
      <c r="G36" s="67">
        <v>2007</v>
      </c>
    </row>
    <row r="37" spans="1:7" s="34" customFormat="1">
      <c r="A37" s="38" t="s">
        <v>127</v>
      </c>
      <c r="B37" s="67">
        <v>480418</v>
      </c>
      <c r="C37" s="67">
        <v>418615</v>
      </c>
      <c r="D37" s="67">
        <v>382718</v>
      </c>
      <c r="E37" s="67">
        <v>218389</v>
      </c>
      <c r="F37" s="67">
        <v>891022</v>
      </c>
      <c r="G37" s="67">
        <v>954814</v>
      </c>
    </row>
    <row r="38" spans="1:7" s="34" customFormat="1">
      <c r="A38" s="38" t="s">
        <v>128</v>
      </c>
      <c r="B38" s="67">
        <v>1516698</v>
      </c>
      <c r="C38" s="67">
        <v>1985184</v>
      </c>
      <c r="D38" s="67">
        <v>2706706</v>
      </c>
      <c r="E38" s="67">
        <v>3253165</v>
      </c>
      <c r="F38" s="67">
        <v>4439416</v>
      </c>
      <c r="G38" s="67">
        <v>4972032</v>
      </c>
    </row>
    <row r="39" spans="1:7" s="34" customFormat="1">
      <c r="A39" s="38" t="s">
        <v>129</v>
      </c>
      <c r="B39" s="67">
        <v>5570510</v>
      </c>
      <c r="C39" s="67">
        <v>7168531</v>
      </c>
      <c r="D39" s="67">
        <v>9003059</v>
      </c>
      <c r="E39" s="67">
        <v>10377715</v>
      </c>
      <c r="F39" s="67">
        <v>13055794</v>
      </c>
      <c r="G39" s="67">
        <v>15171280</v>
      </c>
    </row>
    <row r="40" spans="1:7" s="34" customFormat="1">
      <c r="A40" s="38" t="s">
        <v>130</v>
      </c>
      <c r="B40" s="67">
        <v>2266563</v>
      </c>
      <c r="C40" s="67">
        <v>3070190</v>
      </c>
      <c r="D40" s="67">
        <v>4203783</v>
      </c>
      <c r="E40" s="67">
        <v>5605311</v>
      </c>
      <c r="F40" s="67">
        <v>7085151</v>
      </c>
      <c r="G40" s="67">
        <v>8653393</v>
      </c>
    </row>
    <row r="41" spans="1:7" s="34" customFormat="1">
      <c r="A41" s="38" t="s">
        <v>131</v>
      </c>
      <c r="B41" s="67">
        <v>9804</v>
      </c>
      <c r="C41" s="67">
        <v>9804</v>
      </c>
      <c r="D41" s="67">
        <v>9804</v>
      </c>
      <c r="E41" s="67">
        <v>9804</v>
      </c>
      <c r="F41" s="67">
        <v>9804</v>
      </c>
      <c r="G41" s="67">
        <v>9804</v>
      </c>
    </row>
    <row r="42" spans="1:7" s="34" customFormat="1">
      <c r="A42" s="38" t="s">
        <v>132</v>
      </c>
      <c r="B42" s="67">
        <v>2063322</v>
      </c>
      <c r="C42" s="67">
        <v>2707720</v>
      </c>
      <c r="D42" s="67">
        <v>3512022</v>
      </c>
      <c r="E42" s="67">
        <v>4652148</v>
      </c>
      <c r="F42" s="67">
        <v>6058912</v>
      </c>
      <c r="G42" s="67">
        <v>7569927</v>
      </c>
    </row>
    <row r="43" spans="1:7" s="34" customFormat="1">
      <c r="A43" s="38" t="s">
        <v>133</v>
      </c>
      <c r="B43" s="67">
        <v>185937</v>
      </c>
      <c r="C43" s="67">
        <v>345166</v>
      </c>
      <c r="D43" s="67">
        <v>674457</v>
      </c>
      <c r="E43" s="67">
        <v>935859</v>
      </c>
      <c r="F43" s="67">
        <v>1031871</v>
      </c>
      <c r="G43" s="67">
        <v>1077742</v>
      </c>
    </row>
    <row r="44" spans="1:7" s="34" customFormat="1">
      <c r="A44" s="38" t="s">
        <v>134</v>
      </c>
      <c r="B44" s="67">
        <v>7500</v>
      </c>
      <c r="C44" s="67">
        <v>7500</v>
      </c>
      <c r="D44" s="67">
        <v>7500</v>
      </c>
      <c r="E44" s="67">
        <v>7500</v>
      </c>
      <c r="F44" s="67">
        <v>-15436</v>
      </c>
      <c r="G44" s="67">
        <v>-4080</v>
      </c>
    </row>
    <row r="45" spans="1:7" s="34" customFormat="1">
      <c r="A45" s="38" t="s">
        <v>135</v>
      </c>
      <c r="B45" s="67">
        <v>0</v>
      </c>
      <c r="C45" s="67">
        <v>0</v>
      </c>
      <c r="D45" s="67">
        <v>0</v>
      </c>
      <c r="E45" s="67">
        <v>0</v>
      </c>
      <c r="F45" s="67">
        <v>17283</v>
      </c>
      <c r="G45" s="67">
        <v>17720</v>
      </c>
    </row>
    <row r="46" spans="1:7" s="34" customFormat="1">
      <c r="A46" s="38" t="s">
        <v>136</v>
      </c>
      <c r="B46" s="67">
        <v>2266563</v>
      </c>
      <c r="C46" s="67">
        <v>3070190</v>
      </c>
      <c r="D46" s="67">
        <v>4203783</v>
      </c>
      <c r="E46" s="67">
        <v>5605311</v>
      </c>
      <c r="F46" s="67">
        <v>7102434</v>
      </c>
      <c r="G46" s="67">
        <v>8671113</v>
      </c>
    </row>
    <row r="47" spans="1:7" s="34" customFormat="1">
      <c r="A47" s="38" t="s">
        <v>137</v>
      </c>
      <c r="B47" s="67">
        <v>725851</v>
      </c>
      <c r="C47" s="67">
        <v>583014</v>
      </c>
      <c r="D47" s="67">
        <v>690862</v>
      </c>
      <c r="E47" s="67">
        <v>469629</v>
      </c>
      <c r="F47" s="67">
        <v>272219</v>
      </c>
      <c r="G47" s="67">
        <v>312861</v>
      </c>
    </row>
    <row r="48" spans="1:7" s="34" customFormat="1">
      <c r="A48" s="38" t="s">
        <v>138</v>
      </c>
      <c r="B48" s="67">
        <v>67876</v>
      </c>
      <c r="C48" s="67">
        <v>46621</v>
      </c>
      <c r="D48" s="67">
        <v>34673</v>
      </c>
      <c r="E48" s="67">
        <v>35612</v>
      </c>
      <c r="F48" s="67">
        <v>60818</v>
      </c>
      <c r="G48" s="67">
        <v>87851</v>
      </c>
    </row>
    <row r="49" spans="1:7" s="34" customFormat="1">
      <c r="A49" s="38" t="s">
        <v>139</v>
      </c>
      <c r="B49" s="67">
        <v>419936</v>
      </c>
      <c r="C49" s="67">
        <v>450000</v>
      </c>
      <c r="D49" s="67">
        <v>370000</v>
      </c>
      <c r="E49" s="67">
        <v>370000</v>
      </c>
      <c r="F49" s="67">
        <v>170000</v>
      </c>
      <c r="G49" s="67">
        <v>0</v>
      </c>
    </row>
    <row r="50" spans="1:7" s="34" customFormat="1">
      <c r="A50" s="38" t="s">
        <v>140</v>
      </c>
      <c r="B50" s="67">
        <v>0</v>
      </c>
      <c r="C50" s="67">
        <v>0</v>
      </c>
      <c r="D50" s="67">
        <v>0</v>
      </c>
      <c r="E50" s="67">
        <v>0</v>
      </c>
      <c r="F50" s="67">
        <v>22936</v>
      </c>
      <c r="G50" s="67">
        <v>11580</v>
      </c>
    </row>
    <row r="51" spans="1:7" s="34" customFormat="1">
      <c r="A51" s="38" t="s">
        <v>141</v>
      </c>
      <c r="B51" s="67">
        <v>180</v>
      </c>
      <c r="C51" s="67">
        <v>150</v>
      </c>
      <c r="D51" s="67">
        <v>120</v>
      </c>
      <c r="E51" s="67">
        <v>90</v>
      </c>
      <c r="F51" s="67">
        <v>60</v>
      </c>
      <c r="G51" s="67">
        <v>30</v>
      </c>
    </row>
    <row r="52" spans="1:7" s="34" customFormat="1">
      <c r="A52" s="38" t="s">
        <v>142</v>
      </c>
      <c r="B52" s="67">
        <v>2844</v>
      </c>
      <c r="C52" s="67">
        <v>4827</v>
      </c>
      <c r="D52" s="67">
        <v>5794</v>
      </c>
      <c r="E52" s="67">
        <v>10900</v>
      </c>
      <c r="F52" s="67">
        <v>14142</v>
      </c>
      <c r="G52" s="67">
        <v>18041</v>
      </c>
    </row>
    <row r="53" spans="1:7" s="34" customFormat="1">
      <c r="A53" s="38" t="s">
        <v>143</v>
      </c>
      <c r="B53" s="67">
        <v>6555</v>
      </c>
      <c r="C53" s="67">
        <v>8187</v>
      </c>
      <c r="D53" s="67">
        <v>7700</v>
      </c>
      <c r="E53" s="67">
        <v>6880</v>
      </c>
      <c r="F53" s="67">
        <v>30336</v>
      </c>
      <c r="G53" s="67">
        <v>4609</v>
      </c>
    </row>
    <row r="54" spans="1:7" s="34" customFormat="1">
      <c r="A54" s="38" t="s">
        <v>144</v>
      </c>
      <c r="B54" s="67">
        <v>14</v>
      </c>
      <c r="C54" s="67">
        <v>5</v>
      </c>
      <c r="D54" s="67">
        <v>0</v>
      </c>
      <c r="E54" s="67">
        <v>0</v>
      </c>
      <c r="F54" s="67">
        <v>0</v>
      </c>
      <c r="G54" s="67">
        <v>0</v>
      </c>
    </row>
    <row r="55" spans="1:7" s="34" customFormat="1">
      <c r="A55" s="38" t="s">
        <v>145</v>
      </c>
      <c r="B55" s="67">
        <v>1223256</v>
      </c>
      <c r="C55" s="67">
        <v>1092804</v>
      </c>
      <c r="D55" s="67">
        <v>1109149</v>
      </c>
      <c r="E55" s="67">
        <v>893111</v>
      </c>
      <c r="F55" s="67">
        <v>570511</v>
      </c>
      <c r="G55" s="67">
        <v>434972</v>
      </c>
    </row>
    <row r="56" spans="1:7" s="34" customFormat="1">
      <c r="A56" s="38" t="s">
        <v>146</v>
      </c>
      <c r="B56" s="67">
        <v>1695163</v>
      </c>
      <c r="C56" s="67">
        <v>2454051</v>
      </c>
      <c r="D56" s="67">
        <v>2651049</v>
      </c>
      <c r="E56" s="67">
        <v>3095968</v>
      </c>
      <c r="F56" s="67">
        <v>4362006</v>
      </c>
      <c r="G56" s="67">
        <v>5194539</v>
      </c>
    </row>
    <row r="57" spans="1:7" s="34" customFormat="1">
      <c r="A57" s="38" t="s">
        <v>147</v>
      </c>
      <c r="B57" s="67">
        <v>216868</v>
      </c>
      <c r="C57" s="67">
        <v>196169</v>
      </c>
      <c r="D57" s="67">
        <v>410157</v>
      </c>
      <c r="E57" s="67">
        <v>278588</v>
      </c>
      <c r="F57" s="67">
        <v>361034</v>
      </c>
      <c r="G57" s="67">
        <v>159926</v>
      </c>
    </row>
    <row r="58" spans="1:7" s="34" customFormat="1">
      <c r="A58" s="38" t="s">
        <v>148</v>
      </c>
      <c r="B58" s="67">
        <v>42249</v>
      </c>
      <c r="C58" s="67">
        <v>27721</v>
      </c>
      <c r="D58" s="67">
        <v>17893</v>
      </c>
      <c r="E58" s="67">
        <v>14565</v>
      </c>
      <c r="F58" s="67">
        <v>17900</v>
      </c>
      <c r="G58" s="67">
        <v>22812</v>
      </c>
    </row>
    <row r="59" spans="1:7" s="34" customFormat="1">
      <c r="A59" s="38" t="s">
        <v>149</v>
      </c>
      <c r="B59" s="67">
        <v>930</v>
      </c>
      <c r="C59" s="67">
        <v>171642</v>
      </c>
      <c r="D59" s="67">
        <v>260947</v>
      </c>
      <c r="E59" s="67">
        <v>4784</v>
      </c>
      <c r="F59" s="67">
        <v>204845</v>
      </c>
      <c r="G59" s="67">
        <v>171882</v>
      </c>
    </row>
    <row r="60" spans="1:7" s="34" customFormat="1">
      <c r="A60" s="38" t="s">
        <v>150</v>
      </c>
      <c r="B60" s="67">
        <v>1332</v>
      </c>
      <c r="C60" s="67">
        <v>1944</v>
      </c>
      <c r="D60" s="67">
        <v>229660</v>
      </c>
      <c r="E60" s="67">
        <v>307273</v>
      </c>
      <c r="F60" s="67">
        <v>382575</v>
      </c>
      <c r="G60" s="67">
        <v>464694</v>
      </c>
    </row>
    <row r="61" spans="1:7" s="34" customFormat="1">
      <c r="A61" s="38" t="s">
        <v>151</v>
      </c>
      <c r="B61" s="67">
        <v>80509</v>
      </c>
      <c r="C61" s="67">
        <v>93017</v>
      </c>
      <c r="D61" s="67">
        <v>120034</v>
      </c>
      <c r="E61" s="67">
        <v>176736</v>
      </c>
      <c r="F61" s="67">
        <v>50612</v>
      </c>
      <c r="G61" s="67">
        <v>47605</v>
      </c>
    </row>
    <row r="62" spans="1:7" s="34" customFormat="1">
      <c r="A62" s="38" t="s">
        <v>152</v>
      </c>
      <c r="B62" s="67">
        <v>43640</v>
      </c>
      <c r="C62" s="67">
        <v>60993</v>
      </c>
      <c r="D62" s="67">
        <v>387</v>
      </c>
      <c r="E62" s="67">
        <v>1379</v>
      </c>
      <c r="F62" s="67">
        <v>3877</v>
      </c>
      <c r="G62" s="67">
        <v>3737</v>
      </c>
    </row>
    <row r="63" spans="1:7" s="34" customFormat="1">
      <c r="A63" s="38" t="s">
        <v>153</v>
      </c>
      <c r="B63" s="67">
        <v>2080691</v>
      </c>
      <c r="C63" s="67">
        <v>3005537</v>
      </c>
      <c r="D63" s="67">
        <v>3690127</v>
      </c>
      <c r="E63" s="67">
        <v>3879293</v>
      </c>
      <c r="F63" s="67">
        <v>5382849</v>
      </c>
      <c r="G63" s="67">
        <v>6065195</v>
      </c>
    </row>
    <row r="64" spans="1:7" s="34" customFormat="1">
      <c r="A64" s="38" t="s">
        <v>154</v>
      </c>
      <c r="B64" s="67">
        <v>3303947</v>
      </c>
      <c r="C64" s="67">
        <v>4098341</v>
      </c>
      <c r="D64" s="67">
        <v>4799276</v>
      </c>
      <c r="E64" s="67">
        <v>4772404</v>
      </c>
      <c r="F64" s="67">
        <v>5953360</v>
      </c>
      <c r="G64" s="67">
        <v>6500167</v>
      </c>
    </row>
    <row r="65" spans="1:14" s="34" customFormat="1">
      <c r="A65" s="38" t="s">
        <v>155</v>
      </c>
      <c r="B65" s="67">
        <v>5570510</v>
      </c>
      <c r="C65" s="67">
        <v>7168531</v>
      </c>
      <c r="D65" s="67">
        <v>9003059</v>
      </c>
      <c r="E65" s="67">
        <v>10377715</v>
      </c>
      <c r="F65" s="67">
        <v>13055794</v>
      </c>
      <c r="G65" s="67">
        <v>15171280</v>
      </c>
    </row>
    <row r="66" spans="1:14" s="34" customFormat="1" ht="18" customHeight="1">
      <c r="A66" s="98" t="s">
        <v>156</v>
      </c>
      <c r="B66" s="98"/>
      <c r="C66" s="98"/>
      <c r="D66" s="98"/>
      <c r="E66" s="98"/>
      <c r="F66" s="98"/>
      <c r="G66" s="98"/>
    </row>
    <row r="67" spans="1:14" s="34" customFormat="1" ht="18" customHeight="1">
      <c r="A67" s="97" t="s">
        <v>98</v>
      </c>
      <c r="B67" s="97">
        <v>2020</v>
      </c>
      <c r="C67" s="97">
        <v>2021</v>
      </c>
      <c r="D67" s="97">
        <v>2022</v>
      </c>
      <c r="E67" s="97">
        <v>2023</v>
      </c>
      <c r="F67" s="97">
        <v>2024</v>
      </c>
      <c r="G67" s="97">
        <v>2025</v>
      </c>
    </row>
    <row r="68" spans="1:14" s="34" customFormat="1">
      <c r="A68" s="38" t="s">
        <v>157</v>
      </c>
      <c r="B68" s="67">
        <v>198146</v>
      </c>
      <c r="C68" s="67">
        <v>247343</v>
      </c>
      <c r="D68" s="67">
        <v>300129</v>
      </c>
      <c r="E68" s="67">
        <v>356828</v>
      </c>
      <c r="F68" s="67">
        <v>409179</v>
      </c>
      <c r="G68" s="67">
        <v>505031</v>
      </c>
      <c r="I68" s="25"/>
      <c r="J68" s="25"/>
      <c r="K68" s="25"/>
      <c r="L68" s="25"/>
      <c r="M68" s="25"/>
      <c r="N68" s="25"/>
    </row>
    <row r="69" spans="1:14" s="34" customFormat="1">
      <c r="A69" s="38" t="s">
        <v>110</v>
      </c>
      <c r="B69" s="67">
        <f>B19</f>
        <v>789000</v>
      </c>
      <c r="C69" s="67">
        <f t="shared" ref="C69:G69" si="0">C19</f>
        <v>978409</v>
      </c>
      <c r="D69" s="67">
        <f t="shared" si="0"/>
        <v>1401618</v>
      </c>
      <c r="E69" s="67">
        <f t="shared" si="0"/>
        <v>1738981</v>
      </c>
      <c r="F69" s="67">
        <f t="shared" si="0"/>
        <v>1793563</v>
      </c>
      <c r="G69" s="67">
        <f t="shared" si="0"/>
        <v>1926653</v>
      </c>
    </row>
    <row r="70" spans="1:14" s="34" customFormat="1">
      <c r="A70" s="38" t="s">
        <v>158</v>
      </c>
      <c r="B70" s="67">
        <v>-138680</v>
      </c>
      <c r="C70" s="67">
        <v>-173004</v>
      </c>
      <c r="D70" s="67">
        <v>-234653</v>
      </c>
      <c r="E70" s="67">
        <v>-291839</v>
      </c>
      <c r="F70" s="67">
        <v>-417176</v>
      </c>
      <c r="G70" s="67">
        <v>-362312</v>
      </c>
    </row>
    <row r="71" spans="1:14" s="34" customFormat="1">
      <c r="A71" s="38" t="s">
        <v>159</v>
      </c>
      <c r="B71" s="67">
        <v>52012</v>
      </c>
      <c r="C71" s="67">
        <v>46645</v>
      </c>
      <c r="D71" s="67">
        <v>141293</v>
      </c>
      <c r="E71" s="67">
        <v>147316</v>
      </c>
      <c r="F71" s="67">
        <v>121353</v>
      </c>
      <c r="G71" s="67">
        <v>122837</v>
      </c>
    </row>
    <row r="72" spans="1:14" s="34" customFormat="1">
      <c r="A72" s="38" t="s">
        <v>160</v>
      </c>
      <c r="B72" s="67">
        <v>-43201</v>
      </c>
      <c r="C72" s="67">
        <v>-24880</v>
      </c>
      <c r="D72" s="67">
        <v>-152796</v>
      </c>
      <c r="E72" s="67">
        <v>-54245</v>
      </c>
      <c r="F72" s="67">
        <v>-55966</v>
      </c>
      <c r="G72" s="67">
        <v>14973</v>
      </c>
    </row>
    <row r="73" spans="1:14" s="34" customFormat="1">
      <c r="A73" s="38" t="s">
        <v>161</v>
      </c>
      <c r="B73" s="67">
        <v>-251152</v>
      </c>
      <c r="C73" s="67">
        <v>-498316</v>
      </c>
      <c r="D73" s="67">
        <v>-605315</v>
      </c>
      <c r="E73" s="67">
        <v>-660081</v>
      </c>
      <c r="F73" s="67">
        <v>-424123</v>
      </c>
      <c r="G73" s="67">
        <v>-466656</v>
      </c>
    </row>
    <row r="74" spans="1:14" s="34" customFormat="1">
      <c r="A74" s="38" t="s">
        <v>162</v>
      </c>
      <c r="B74" s="67">
        <v>197916</v>
      </c>
      <c r="C74" s="67">
        <v>728449</v>
      </c>
      <c r="D74" s="67">
        <v>366502</v>
      </c>
      <c r="E74" s="67">
        <v>537055</v>
      </c>
      <c r="F74" s="67">
        <v>1126352</v>
      </c>
      <c r="G74" s="67">
        <v>948166</v>
      </c>
    </row>
    <row r="75" spans="1:14" s="34" customFormat="1">
      <c r="A75" s="38" t="s">
        <v>163</v>
      </c>
      <c r="B75" s="67">
        <f>B76-SUM(B68:B74)</f>
        <v>15881</v>
      </c>
      <c r="C75" s="67">
        <f t="shared" ref="C75:G75" si="1">C76-SUM(C68:C74)</f>
        <v>21685</v>
      </c>
      <c r="D75" s="67">
        <f t="shared" si="1"/>
        <v>36644</v>
      </c>
      <c r="E75" s="67">
        <f t="shared" si="1"/>
        <v>-2475</v>
      </c>
      <c r="F75" s="67">
        <f t="shared" si="1"/>
        <v>4271</v>
      </c>
      <c r="G75" s="67">
        <f t="shared" si="1"/>
        <v>8753</v>
      </c>
    </row>
    <row r="76" spans="1:14" s="34" customFormat="1">
      <c r="A76" s="38" t="s">
        <v>164</v>
      </c>
      <c r="B76" s="67">
        <v>819922</v>
      </c>
      <c r="C76" s="67">
        <v>1326331</v>
      </c>
      <c r="D76" s="67">
        <v>1253422</v>
      </c>
      <c r="E76" s="67">
        <v>1771540</v>
      </c>
      <c r="F76" s="67">
        <v>2557453</v>
      </c>
      <c r="G76" s="67">
        <v>2697445</v>
      </c>
    </row>
    <row r="77" spans="1:14" s="34" customFormat="1">
      <c r="A77" s="38" t="s">
        <v>165</v>
      </c>
      <c r="B77" s="67">
        <v>1403</v>
      </c>
      <c r="C77" s="67">
        <v>4263</v>
      </c>
      <c r="D77" s="67">
        <v>6287</v>
      </c>
      <c r="E77" s="67">
        <v>5735</v>
      </c>
      <c r="F77" s="67">
        <v>2430</v>
      </c>
      <c r="G77" s="67">
        <v>3980</v>
      </c>
    </row>
    <row r="78" spans="1:14" s="34" customFormat="1">
      <c r="A78" s="38" t="s">
        <v>166</v>
      </c>
      <c r="B78" s="67">
        <v>-1002025</v>
      </c>
      <c r="C78" s="67">
        <v>-1335604</v>
      </c>
      <c r="D78" s="67">
        <v>-1445905</v>
      </c>
      <c r="E78" s="67">
        <v>-1172863</v>
      </c>
      <c r="F78" s="67">
        <v>-1561914</v>
      </c>
      <c r="G78" s="67">
        <v>-2087043</v>
      </c>
    </row>
    <row r="79" spans="1:14" s="34" customFormat="1">
      <c r="A79" s="38" t="s">
        <v>167</v>
      </c>
      <c r="B79" s="67">
        <v>0</v>
      </c>
      <c r="C79" s="67">
        <v>0</v>
      </c>
      <c r="D79" s="67">
        <v>0</v>
      </c>
      <c r="E79" s="67">
        <v>0</v>
      </c>
      <c r="F79" s="67">
        <v>-42837</v>
      </c>
      <c r="G79" s="67">
        <v>0</v>
      </c>
      <c r="I79" s="25"/>
      <c r="J79" s="25"/>
      <c r="K79" s="25"/>
      <c r="L79" s="25"/>
      <c r="M79" s="25"/>
      <c r="N79" s="25"/>
    </row>
    <row r="80" spans="1:14" s="34" customFormat="1">
      <c r="A80" s="38" t="s">
        <v>168</v>
      </c>
      <c r="B80" s="67">
        <v>1131</v>
      </c>
      <c r="C80" s="67">
        <v>998</v>
      </c>
      <c r="D80" s="67">
        <v>4969</v>
      </c>
      <c r="E80" s="67">
        <v>9006</v>
      </c>
      <c r="F80" s="67">
        <v>5972</v>
      </c>
      <c r="G80" s="67">
        <v>8081</v>
      </c>
    </row>
    <row r="81" spans="1:7" s="34" customFormat="1">
      <c r="A81" s="38" t="s">
        <v>169</v>
      </c>
      <c r="B81" s="67">
        <v>825</v>
      </c>
      <c r="C81" s="67">
        <v>1415</v>
      </c>
      <c r="D81" s="67">
        <v>1710</v>
      </c>
      <c r="E81" s="67">
        <v>1831</v>
      </c>
      <c r="F81" s="67">
        <v>1859</v>
      </c>
      <c r="G81" s="67">
        <v>2466</v>
      </c>
    </row>
    <row r="82" spans="1:7" s="34" customFormat="1">
      <c r="A82" s="38" t="s">
        <v>170</v>
      </c>
      <c r="B82" s="67">
        <v>-1470</v>
      </c>
      <c r="C82" s="67">
        <v>-1800</v>
      </c>
      <c r="D82" s="67">
        <v>-1624</v>
      </c>
      <c r="E82" s="67">
        <v>-1965</v>
      </c>
      <c r="F82" s="67">
        <v>-2419</v>
      </c>
      <c r="G82" s="67">
        <v>-2538</v>
      </c>
    </row>
    <row r="83" spans="1:7" s="34" customFormat="1">
      <c r="A83" s="38" t="s">
        <v>171</v>
      </c>
      <c r="B83" s="67">
        <v>-1000136</v>
      </c>
      <c r="C83" s="67">
        <v>-1330728</v>
      </c>
      <c r="D83" s="67">
        <v>-1434563</v>
      </c>
      <c r="E83" s="67">
        <v>-1158256</v>
      </c>
      <c r="F83" s="67">
        <v>-1596909</v>
      </c>
      <c r="G83" s="67">
        <v>-2075054</v>
      </c>
    </row>
    <row r="84" spans="1:7" s="34" customFormat="1">
      <c r="A84" s="38" t="s">
        <v>172</v>
      </c>
      <c r="B84" s="67">
        <v>-58335</v>
      </c>
      <c r="C84" s="67">
        <v>-47224</v>
      </c>
      <c r="D84" s="67">
        <v>-47531</v>
      </c>
      <c r="E84" s="67">
        <v>-25837</v>
      </c>
      <c r="F84" s="67">
        <v>-43861</v>
      </c>
      <c r="G84" s="67">
        <v>-72333</v>
      </c>
    </row>
    <row r="85" spans="1:7" s="34" customFormat="1">
      <c r="A85" s="38" t="s">
        <v>173</v>
      </c>
      <c r="B85" s="67">
        <v>401369</v>
      </c>
      <c r="C85" s="67">
        <v>57636</v>
      </c>
      <c r="D85" s="67">
        <v>648366</v>
      </c>
      <c r="E85" s="67">
        <v>61378</v>
      </c>
      <c r="F85" s="67">
        <v>199961</v>
      </c>
      <c r="G85" s="67">
        <v>225124</v>
      </c>
    </row>
    <row r="86" spans="1:7" s="34" customFormat="1">
      <c r="A86" s="38" t="s">
        <v>174</v>
      </c>
      <c r="B86" s="67">
        <v>-175110</v>
      </c>
      <c r="C86" s="67">
        <v>-221173</v>
      </c>
      <c r="D86" s="67">
        <v>-326529</v>
      </c>
      <c r="E86" s="67">
        <v>-414180</v>
      </c>
      <c r="F86" s="67">
        <v>-322719</v>
      </c>
      <c r="G86" s="67">
        <v>-385590</v>
      </c>
    </row>
    <row r="87" spans="1:7" s="34" customFormat="1">
      <c r="A87" s="38" t="s">
        <v>175</v>
      </c>
      <c r="B87" s="67">
        <v>250000</v>
      </c>
      <c r="C87" s="67">
        <v>200000</v>
      </c>
      <c r="D87" s="67">
        <v>170000</v>
      </c>
      <c r="E87" s="67">
        <v>0</v>
      </c>
      <c r="F87" s="67">
        <v>0</v>
      </c>
      <c r="G87" s="67">
        <v>0</v>
      </c>
    </row>
    <row r="88" spans="1:7" s="34" customFormat="1">
      <c r="A88" s="38" t="s">
        <v>176</v>
      </c>
      <c r="B88" s="67">
        <v>-100000</v>
      </c>
      <c r="C88" s="67">
        <v>0</v>
      </c>
      <c r="D88" s="67">
        <v>-170000</v>
      </c>
      <c r="E88" s="67">
        <v>-250000</v>
      </c>
      <c r="F88" s="67">
        <v>0</v>
      </c>
      <c r="G88" s="67">
        <v>-200000</v>
      </c>
    </row>
    <row r="89" spans="1:7" s="34" customFormat="1">
      <c r="A89" s="38" t="s">
        <v>177</v>
      </c>
      <c r="B89" s="67">
        <v>-52012</v>
      </c>
      <c r="C89" s="67">
        <v>-46645</v>
      </c>
      <c r="D89" s="67">
        <v>-129062</v>
      </c>
      <c r="E89" s="67">
        <v>-148974</v>
      </c>
      <c r="F89" s="67">
        <v>-121292</v>
      </c>
      <c r="G89" s="67">
        <v>-125800</v>
      </c>
    </row>
    <row r="90" spans="1:7" s="34" customFormat="1">
      <c r="A90" s="38" t="s">
        <v>178</v>
      </c>
      <c r="B90" s="67">
        <v>265912</v>
      </c>
      <c r="C90" s="67">
        <v>-57406</v>
      </c>
      <c r="D90" s="67">
        <v>145244</v>
      </c>
      <c r="E90" s="67">
        <v>-777613</v>
      </c>
      <c r="F90" s="67">
        <v>-287911</v>
      </c>
      <c r="G90" s="67">
        <v>-558599</v>
      </c>
    </row>
    <row r="91" spans="1:7" s="34" customFormat="1">
      <c r="A91" s="38" t="s">
        <v>179</v>
      </c>
      <c r="B91" s="67">
        <v>85698</v>
      </c>
      <c r="C91" s="67">
        <v>-61803</v>
      </c>
      <c r="D91" s="67">
        <v>-35897</v>
      </c>
      <c r="E91" s="67">
        <v>-164329</v>
      </c>
      <c r="F91" s="67">
        <v>672633</v>
      </c>
      <c r="G91" s="67">
        <v>63792</v>
      </c>
    </row>
    <row r="92" spans="1:7" s="34" customFormat="1">
      <c r="A92" s="38" t="s">
        <v>180</v>
      </c>
      <c r="B92" s="67">
        <v>394720</v>
      </c>
      <c r="C92" s="67">
        <v>480418</v>
      </c>
      <c r="D92" s="67">
        <v>418615</v>
      </c>
      <c r="E92" s="67">
        <v>382718</v>
      </c>
      <c r="F92" s="67">
        <v>218389</v>
      </c>
      <c r="G92" s="67">
        <v>891022</v>
      </c>
    </row>
    <row r="93" spans="1:7" s="34" customFormat="1">
      <c r="A93" s="38" t="s">
        <v>181</v>
      </c>
      <c r="B93" s="67">
        <v>480418</v>
      </c>
      <c r="C93" s="67">
        <v>418615</v>
      </c>
      <c r="D93" s="67">
        <v>382718</v>
      </c>
      <c r="E93" s="67">
        <v>218389</v>
      </c>
      <c r="F93" s="67">
        <v>891022</v>
      </c>
      <c r="G93" s="67">
        <v>954814</v>
      </c>
    </row>
    <row r="94" spans="1:7" s="34" customFormat="1" ht="18" customHeight="1">
      <c r="A94" s="98" t="s">
        <v>182</v>
      </c>
      <c r="B94" s="98"/>
      <c r="C94" s="98"/>
      <c r="D94" s="98"/>
      <c r="E94" s="98"/>
      <c r="F94" s="98"/>
      <c r="G94" s="98"/>
    </row>
    <row r="95" spans="1:7" s="34" customFormat="1" ht="18" customHeight="1">
      <c r="A95" s="97" t="s">
        <v>98</v>
      </c>
      <c r="B95" s="97">
        <v>2020</v>
      </c>
      <c r="C95" s="97">
        <v>2021</v>
      </c>
      <c r="D95" s="97">
        <v>2022</v>
      </c>
      <c r="E95" s="97">
        <v>2023</v>
      </c>
      <c r="F95" s="97">
        <v>2024</v>
      </c>
      <c r="G95" s="97">
        <v>2025</v>
      </c>
    </row>
    <row r="96" spans="1:7" s="34" customFormat="1">
      <c r="A96" s="38" t="s">
        <v>183</v>
      </c>
      <c r="B96" s="67">
        <v>1473</v>
      </c>
      <c r="C96" s="67">
        <v>1815</v>
      </c>
      <c r="D96" s="67">
        <v>2156</v>
      </c>
      <c r="E96" s="67">
        <v>2406</v>
      </c>
      <c r="F96" s="67">
        <v>2688</v>
      </c>
      <c r="G96" s="67">
        <v>3033</v>
      </c>
    </row>
    <row r="97" spans="1:7" s="34" customFormat="1">
      <c r="A97" s="38" t="s">
        <v>184</v>
      </c>
      <c r="B97" s="67">
        <v>573</v>
      </c>
      <c r="C97" s="67">
        <v>710</v>
      </c>
      <c r="D97" s="67">
        <v>848</v>
      </c>
      <c r="E97" s="67">
        <v>948</v>
      </c>
      <c r="F97" s="67">
        <v>1061</v>
      </c>
      <c r="G97" s="67">
        <v>1200</v>
      </c>
    </row>
    <row r="98" spans="1:7" s="34" customFormat="1">
      <c r="A98" s="38" t="s">
        <v>185</v>
      </c>
      <c r="B98" s="53">
        <f t="shared" ref="B98:G98" si="2">B97*1000/B96</f>
        <v>389.00203665987777</v>
      </c>
      <c r="C98" s="53">
        <f t="shared" si="2"/>
        <v>391.1845730027548</v>
      </c>
      <c r="D98" s="53">
        <f t="shared" si="2"/>
        <v>393.32096474953619</v>
      </c>
      <c r="E98" s="53">
        <f t="shared" si="2"/>
        <v>394.0149625935162</v>
      </c>
      <c r="F98" s="53">
        <f t="shared" si="2"/>
        <v>394.71726190476193</v>
      </c>
      <c r="G98" s="53">
        <f t="shared" si="2"/>
        <v>395.64787339268054</v>
      </c>
    </row>
    <row r="99" spans="1:7" s="34" customFormat="1">
      <c r="A99" s="38" t="s">
        <v>186</v>
      </c>
      <c r="B99" s="69">
        <v>3.4000000000000002E-2</v>
      </c>
      <c r="C99" s="69">
        <v>5.0999999999999997E-2</v>
      </c>
      <c r="D99" s="69">
        <v>0.14399999999999999</v>
      </c>
      <c r="E99" s="69">
        <v>0.114</v>
      </c>
      <c r="F99" s="69">
        <v>3.5999999999999997E-2</v>
      </c>
      <c r="G99" s="69">
        <v>3.5999999999999997E-2</v>
      </c>
    </row>
    <row r="100" spans="1:7" s="34" customFormat="1">
      <c r="A100" s="38" t="s">
        <v>187</v>
      </c>
      <c r="B100" s="69">
        <v>0.126</v>
      </c>
      <c r="C100" s="69">
        <v>0.124</v>
      </c>
      <c r="D100" s="69">
        <v>0.28499999999999998</v>
      </c>
      <c r="E100" s="69">
        <v>0.17199999999999999</v>
      </c>
      <c r="F100" s="69">
        <v>5.2999999999999999E-2</v>
      </c>
      <c r="G100" s="69">
        <v>4.3999999999999997E-2</v>
      </c>
    </row>
    <row r="101" spans="1:7" s="34" customFormat="1">
      <c r="A101" s="38" t="s">
        <v>47</v>
      </c>
      <c r="B101" s="67">
        <v>98040</v>
      </c>
      <c r="C101" s="67">
        <v>98040</v>
      </c>
      <c r="D101" s="67">
        <v>98040</v>
      </c>
      <c r="E101" s="67">
        <v>98040</v>
      </c>
      <c r="F101" s="67">
        <v>98040</v>
      </c>
      <c r="G101" s="67">
        <v>980400</v>
      </c>
    </row>
    <row r="102" spans="1:7" s="34" customFormat="1" ht="18" customHeight="1">
      <c r="A102" s="98" t="s">
        <v>188</v>
      </c>
      <c r="B102" s="98"/>
      <c r="C102" s="98"/>
      <c r="D102" s="98"/>
      <c r="E102" s="98"/>
      <c r="F102" s="98"/>
      <c r="G102" s="98"/>
    </row>
    <row r="103" spans="1:7" s="34" customFormat="1" ht="18" customHeight="1">
      <c r="A103" s="97" t="s">
        <v>98</v>
      </c>
      <c r="B103" s="97">
        <v>2020</v>
      </c>
      <c r="C103" s="97">
        <v>2021</v>
      </c>
      <c r="D103" s="97">
        <v>2022</v>
      </c>
      <c r="E103" s="97">
        <v>2023</v>
      </c>
      <c r="F103" s="97">
        <v>2024</v>
      </c>
      <c r="G103" s="97">
        <v>2025</v>
      </c>
    </row>
    <row r="104" spans="1:7" s="34" customFormat="1">
      <c r="A104" s="38" t="s">
        <v>66</v>
      </c>
      <c r="B104" s="67">
        <v>200</v>
      </c>
      <c r="C104" s="67">
        <v>300</v>
      </c>
      <c r="D104" s="67">
        <v>330</v>
      </c>
      <c r="E104" s="67">
        <v>420</v>
      </c>
      <c r="F104" s="67">
        <v>400</v>
      </c>
      <c r="G104" s="67">
        <v>41</v>
      </c>
    </row>
    <row r="105" spans="1:7" s="34" customFormat="1">
      <c r="A105" s="38" t="s">
        <v>38</v>
      </c>
      <c r="B105" s="69">
        <v>1.4999999999999999E-2</v>
      </c>
      <c r="C105" s="69">
        <v>1.9400000000000001E-2</v>
      </c>
      <c r="D105" s="69">
        <v>6.0499999999999998E-2</v>
      </c>
      <c r="E105" s="69">
        <v>5.8099999999999999E-2</v>
      </c>
      <c r="F105" s="69">
        <v>5.5300000000000002E-2</v>
      </c>
      <c r="G105" s="69">
        <v>5.5E-2</v>
      </c>
    </row>
  </sheetData>
  <mergeCells count="7">
    <mergeCell ref="A94:G94"/>
    <mergeCell ref="A102:G102"/>
    <mergeCell ref="A1:G1"/>
    <mergeCell ref="A2:G2"/>
    <mergeCell ref="A3:G3"/>
    <mergeCell ref="A24:G24"/>
    <mergeCell ref="A66:G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8"/>
  <sheetViews>
    <sheetView showGridLines="0" zoomScale="91" workbookViewId="0">
      <selection activeCell="L15" sqref="L15"/>
    </sheetView>
  </sheetViews>
  <sheetFormatPr defaultRowHeight="13.9"/>
  <cols>
    <col min="1" max="1" width="38.875" customWidth="1"/>
    <col min="2" max="12" width="13" customWidth="1"/>
    <col min="13" max="13" width="11" bestFit="1" customWidth="1"/>
    <col min="14" max="14" width="20.25" customWidth="1"/>
    <col min="15" max="15" width="23.75" customWidth="1"/>
    <col min="16" max="16" width="21" customWidth="1"/>
    <col min="17" max="17" width="16.25" customWidth="1"/>
    <col min="18" max="18" width="21" customWidth="1"/>
  </cols>
  <sheetData>
    <row r="1" spans="1:19" ht="22.15" customHeight="1">
      <c r="A1" s="85" t="s">
        <v>189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9" ht="30" customHeight="1">
      <c r="A2" s="83" t="s">
        <v>190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9" ht="18" customHeight="1">
      <c r="A3" s="99" t="s">
        <v>3</v>
      </c>
      <c r="B3" s="100">
        <v>2020</v>
      </c>
      <c r="C3" s="100">
        <v>2021</v>
      </c>
      <c r="D3" s="100">
        <v>2022</v>
      </c>
      <c r="E3" s="100">
        <v>2023</v>
      </c>
      <c r="F3" s="100">
        <v>2024</v>
      </c>
      <c r="G3" s="100">
        <v>2025</v>
      </c>
      <c r="H3" s="100">
        <v>2026</v>
      </c>
      <c r="I3" s="100">
        <v>2027</v>
      </c>
      <c r="J3" s="100">
        <v>2028</v>
      </c>
      <c r="K3" s="100">
        <v>2029</v>
      </c>
      <c r="L3" s="100">
        <v>2030</v>
      </c>
    </row>
    <row r="4" spans="1:19" ht="18" customHeight="1">
      <c r="A4" s="99" t="s">
        <v>191</v>
      </c>
      <c r="B4" s="93" t="s">
        <v>59</v>
      </c>
      <c r="C4" s="93" t="s">
        <v>60</v>
      </c>
      <c r="D4" s="93" t="s">
        <v>61</v>
      </c>
      <c r="E4" s="93" t="s">
        <v>62</v>
      </c>
      <c r="F4" s="93" t="s">
        <v>63</v>
      </c>
      <c r="G4" s="93" t="s">
        <v>64</v>
      </c>
      <c r="H4" s="93" t="s">
        <v>4</v>
      </c>
      <c r="I4" s="93" t="s">
        <v>20</v>
      </c>
      <c r="J4" s="93" t="s">
        <v>21</v>
      </c>
      <c r="K4" s="93" t="s">
        <v>22</v>
      </c>
      <c r="L4" s="93" t="s">
        <v>5</v>
      </c>
    </row>
    <row r="5" spans="1:19" ht="18" customHeight="1">
      <c r="A5" s="90" t="s">
        <v>192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9">
      <c r="A6" s="38" t="s">
        <v>183</v>
      </c>
      <c r="B6" s="49">
        <f>'Source Data'!B96</f>
        <v>1473</v>
      </c>
      <c r="C6" s="49">
        <f>'Source Data'!C96</f>
        <v>1815</v>
      </c>
      <c r="D6" s="49">
        <f>'Source Data'!D96</f>
        <v>2156</v>
      </c>
      <c r="E6" s="49">
        <f>'Source Data'!E96</f>
        <v>2406</v>
      </c>
      <c r="F6" s="49">
        <f>'Source Data'!F96</f>
        <v>2688</v>
      </c>
      <c r="G6" s="49">
        <f>'Source Data'!G96</f>
        <v>3033</v>
      </c>
      <c r="H6" s="50">
        <f>G6*(1+Assumptions!B31)</f>
        <v>3336.3</v>
      </c>
      <c r="I6" s="50">
        <f>H6*(1+Assumptions!C31)</f>
        <v>3636.5670000000005</v>
      </c>
      <c r="J6" s="50">
        <f>I6*(1+Assumptions!D31)</f>
        <v>3927.4923600000006</v>
      </c>
      <c r="K6" s="50">
        <f>J6*(1+Assumptions!E31)</f>
        <v>4202.4168252000009</v>
      </c>
      <c r="L6" s="50">
        <f>K6*(1+Assumptions!F31)</f>
        <v>4454.5618347120007</v>
      </c>
    </row>
    <row r="7" spans="1:19">
      <c r="A7" s="1" t="s">
        <v>69</v>
      </c>
      <c r="B7" s="49">
        <v>0</v>
      </c>
      <c r="C7" s="51">
        <f>C6/B6-1</f>
        <v>0.23217922606924635</v>
      </c>
      <c r="D7" s="51">
        <f>D6/C6-1</f>
        <v>0.18787878787878798</v>
      </c>
      <c r="E7" s="51">
        <f>E6/D6-1</f>
        <v>0.11595547309833032</v>
      </c>
      <c r="F7" s="51">
        <f>F6/E6-1</f>
        <v>0.11720698254364081</v>
      </c>
      <c r="G7" s="51">
        <f>G6/F6-1</f>
        <v>0.12834821428571419</v>
      </c>
      <c r="H7" s="52">
        <f>Assumptions!B31</f>
        <v>0.1</v>
      </c>
      <c r="I7" s="52">
        <f>Assumptions!C31</f>
        <v>0.09</v>
      </c>
      <c r="J7" s="52">
        <f>Assumptions!D31</f>
        <v>0.08</v>
      </c>
      <c r="K7" s="52">
        <f>Assumptions!E31</f>
        <v>7.0000000000000007E-2</v>
      </c>
      <c r="L7" s="52">
        <f>Assumptions!F31</f>
        <v>0.06</v>
      </c>
    </row>
    <row r="8" spans="1:19">
      <c r="A8" s="38" t="s">
        <v>184</v>
      </c>
      <c r="B8" s="49">
        <f>'Source Data'!B97</f>
        <v>573</v>
      </c>
      <c r="C8" s="49">
        <f>'Source Data'!C97</f>
        <v>710</v>
      </c>
      <c r="D8" s="49">
        <f>'Source Data'!D97</f>
        <v>848</v>
      </c>
      <c r="E8" s="49">
        <f>'Source Data'!E97</f>
        <v>948</v>
      </c>
      <c r="F8" s="49">
        <f>'Source Data'!F97</f>
        <v>1061</v>
      </c>
      <c r="G8" s="49">
        <f>'Source Data'!G97</f>
        <v>1200</v>
      </c>
      <c r="H8" s="50">
        <f>H6*H13/Assumptions!$B$12</f>
        <v>1323.3362999999999</v>
      </c>
      <c r="I8" s="50">
        <f>I6*I13/Assumptions!$B$12</f>
        <v>1446.0731340000002</v>
      </c>
      <c r="J8" s="50">
        <f>J6*J13/Assumptions!$B$12</f>
        <v>1565.6864770800003</v>
      </c>
      <c r="K8" s="50">
        <f>K6*K13/Assumptions!$B$12</f>
        <v>1679.4869473008005</v>
      </c>
      <c r="L8" s="50">
        <f>L6*L13/Assumptions!$B$12</f>
        <v>1784.7107259735606</v>
      </c>
    </row>
    <row r="9" spans="1:19">
      <c r="A9" s="1" t="s">
        <v>193</v>
      </c>
      <c r="B9" s="49"/>
      <c r="C9" s="51">
        <f t="shared" ref="C9:L9" si="0">C8/B8-1</f>
        <v>0.23909249563699819</v>
      </c>
      <c r="D9" s="51">
        <f t="shared" si="0"/>
        <v>0.19436619718309855</v>
      </c>
      <c r="E9" s="51">
        <f t="shared" si="0"/>
        <v>0.11792452830188682</v>
      </c>
      <c r="F9" s="51">
        <f t="shared" si="0"/>
        <v>0.11919831223628696</v>
      </c>
      <c r="G9" s="51">
        <f t="shared" si="0"/>
        <v>0.1310084825636193</v>
      </c>
      <c r="H9" s="51">
        <f t="shared" si="0"/>
        <v>0.10278024999999991</v>
      </c>
      <c r="I9" s="51">
        <f t="shared" si="0"/>
        <v>9.2748029355803396E-2</v>
      </c>
      <c r="J9" s="51">
        <f t="shared" si="0"/>
        <v>8.2715970767768932E-2</v>
      </c>
      <c r="K9" s="51">
        <f t="shared" si="0"/>
        <v>7.2684073016353601E-2</v>
      </c>
      <c r="L9" s="51">
        <f t="shared" si="0"/>
        <v>6.2652334894219397E-2</v>
      </c>
    </row>
    <row r="10" spans="1:19">
      <c r="A10" s="38" t="s">
        <v>194</v>
      </c>
      <c r="B10" s="49">
        <v>0</v>
      </c>
      <c r="C10" s="50">
        <f>C6-B6</f>
        <v>342</v>
      </c>
      <c r="D10" s="50">
        <f t="shared" ref="D10:L10" si="1">D6-C6</f>
        <v>341</v>
      </c>
      <c r="E10" s="50">
        <f t="shared" si="1"/>
        <v>250</v>
      </c>
      <c r="F10" s="50">
        <f t="shared" si="1"/>
        <v>282</v>
      </c>
      <c r="G10" s="50">
        <f t="shared" si="1"/>
        <v>345</v>
      </c>
      <c r="H10" s="50">
        <f t="shared" si="1"/>
        <v>303.30000000000018</v>
      </c>
      <c r="I10" s="50">
        <f t="shared" si="1"/>
        <v>300.26700000000028</v>
      </c>
      <c r="J10" s="50">
        <f t="shared" si="1"/>
        <v>290.92536000000018</v>
      </c>
      <c r="K10" s="50">
        <f t="shared" si="1"/>
        <v>274.92446520000021</v>
      </c>
      <c r="L10" s="50">
        <f t="shared" si="1"/>
        <v>252.14500951199989</v>
      </c>
      <c r="O10" s="80"/>
    </row>
    <row r="11" spans="1:19">
      <c r="A11" s="38" t="s">
        <v>195</v>
      </c>
      <c r="B11" s="49">
        <v>0</v>
      </c>
      <c r="C11" s="50">
        <v>0</v>
      </c>
      <c r="D11" s="50">
        <f>C10</f>
        <v>342</v>
      </c>
      <c r="E11" s="50">
        <f t="shared" ref="E11:L11" si="2">D10</f>
        <v>341</v>
      </c>
      <c r="F11" s="50">
        <f t="shared" si="2"/>
        <v>250</v>
      </c>
      <c r="G11" s="50">
        <f t="shared" si="2"/>
        <v>282</v>
      </c>
      <c r="H11" s="50">
        <f t="shared" si="2"/>
        <v>345</v>
      </c>
      <c r="I11" s="50">
        <f t="shared" si="2"/>
        <v>303.30000000000018</v>
      </c>
      <c r="J11" s="50">
        <f t="shared" si="2"/>
        <v>300.26700000000028</v>
      </c>
      <c r="K11" s="50">
        <f t="shared" si="2"/>
        <v>290.92536000000018</v>
      </c>
      <c r="L11" s="50">
        <f t="shared" si="2"/>
        <v>274.92446520000021</v>
      </c>
    </row>
    <row r="12" spans="1:19">
      <c r="A12" s="38" t="s">
        <v>196</v>
      </c>
      <c r="B12" s="49">
        <f>B6</f>
        <v>1473</v>
      </c>
      <c r="C12" s="49">
        <f>B6</f>
        <v>1473</v>
      </c>
      <c r="D12" s="50">
        <f>B6</f>
        <v>1473</v>
      </c>
      <c r="E12" s="50">
        <f t="shared" ref="E12:L12" si="3">C6</f>
        <v>1815</v>
      </c>
      <c r="F12" s="50">
        <f t="shared" si="3"/>
        <v>2156</v>
      </c>
      <c r="G12" s="50">
        <f t="shared" si="3"/>
        <v>2406</v>
      </c>
      <c r="H12" s="50">
        <f t="shared" si="3"/>
        <v>2688</v>
      </c>
      <c r="I12" s="50">
        <f t="shared" si="3"/>
        <v>3033</v>
      </c>
      <c r="J12" s="50">
        <f t="shared" si="3"/>
        <v>3336.3</v>
      </c>
      <c r="K12" s="50">
        <f t="shared" si="3"/>
        <v>3636.5670000000005</v>
      </c>
      <c r="L12" s="50">
        <f t="shared" si="3"/>
        <v>3927.4923600000006</v>
      </c>
    </row>
    <row r="13" spans="1:19">
      <c r="A13" s="38" t="s">
        <v>185</v>
      </c>
      <c r="B13" s="49">
        <f>'Source Data'!B98</f>
        <v>389.00203665987777</v>
      </c>
      <c r="C13" s="49">
        <f>'Source Data'!C98</f>
        <v>391.1845730027548</v>
      </c>
      <c r="D13" s="49">
        <f>'Source Data'!D98</f>
        <v>393.32096474953619</v>
      </c>
      <c r="E13" s="49">
        <f>'Source Data'!E98</f>
        <v>394.0149625935162</v>
      </c>
      <c r="F13" s="49">
        <f>'Source Data'!F98</f>
        <v>394.71726190476193</v>
      </c>
      <c r="G13" s="49">
        <f>'Source Data'!G98</f>
        <v>395.64787339268054</v>
      </c>
      <c r="H13" s="53">
        <f>G13+1</f>
        <v>396.64787339268054</v>
      </c>
      <c r="I13" s="53">
        <f t="shared" ref="I13:L13" si="4">H13+1</f>
        <v>397.64787339268054</v>
      </c>
      <c r="J13" s="53">
        <f t="shared" si="4"/>
        <v>398.64787339268054</v>
      </c>
      <c r="K13" s="53">
        <f t="shared" si="4"/>
        <v>399.64787339268054</v>
      </c>
      <c r="L13" s="53">
        <f t="shared" si="4"/>
        <v>400.64787339268054</v>
      </c>
    </row>
    <row r="14" spans="1:19">
      <c r="A14" s="38" t="s">
        <v>197</v>
      </c>
      <c r="B14" s="50">
        <f>B17/B6</f>
        <v>6874.2803801765103</v>
      </c>
      <c r="C14" s="50">
        <f>C17/C6</f>
        <v>7361.9900826446283</v>
      </c>
      <c r="D14" s="50">
        <f>D17/D6</f>
        <v>9184.4257884972176</v>
      </c>
      <c r="E14" s="50">
        <f>E17/E6</f>
        <v>10667.603906899418</v>
      </c>
      <c r="F14" s="50">
        <f>F17/F6</f>
        <v>10890.547619047618</v>
      </c>
      <c r="G14" s="50">
        <f>G17/G6</f>
        <v>11089.401582591494</v>
      </c>
      <c r="H14" s="53">
        <f>H17/H6</f>
        <v>11787.444049978301</v>
      </c>
      <c r="I14" s="53">
        <f t="shared" ref="I14:L14" si="5">I17/I6</f>
        <v>12514.697440567355</v>
      </c>
      <c r="J14" s="53">
        <f t="shared" si="5"/>
        <v>13231.794428553541</v>
      </c>
      <c r="K14" s="53">
        <f t="shared" si="5"/>
        <v>13971.405201656184</v>
      </c>
      <c r="L14" s="53">
        <f t="shared" si="5"/>
        <v>14732.778719906279</v>
      </c>
      <c r="N14" s="81"/>
      <c r="O14" s="81"/>
      <c r="P14" s="81"/>
      <c r="Q14" s="81"/>
      <c r="R14" s="81"/>
      <c r="S14" s="81"/>
    </row>
    <row r="15" spans="1:19">
      <c r="A15" s="1" t="s">
        <v>198</v>
      </c>
      <c r="B15" s="49">
        <v>0</v>
      </c>
      <c r="C15" s="51">
        <f>C14/B14-1</f>
        <v>7.094701925084923E-2</v>
      </c>
      <c r="D15" s="51">
        <f>D14/C14-1</f>
        <v>0.24754661245046394</v>
      </c>
      <c r="E15" s="51">
        <f>E14/D14-1</f>
        <v>0.16148838833885137</v>
      </c>
      <c r="F15" s="51">
        <f>F14/E14-1</f>
        <v>2.089913668466914E-2</v>
      </c>
      <c r="G15" s="51">
        <f>G14/F14-1</f>
        <v>1.8259317207894865E-2</v>
      </c>
      <c r="H15" s="54">
        <f>H14/G14-1</f>
        <v>6.2946811168117289E-2</v>
      </c>
      <c r="I15" s="54">
        <f>I14/H14-1</f>
        <v>6.1697293111681262E-2</v>
      </c>
      <c r="J15" s="54">
        <f>J14/I14-1</f>
        <v>5.7300385518043839E-2</v>
      </c>
      <c r="K15" s="54">
        <f>K14/J14-1</f>
        <v>5.5896483058004653E-2</v>
      </c>
      <c r="L15" s="54">
        <f>L14/K14-1</f>
        <v>5.4495128246644819E-2</v>
      </c>
    </row>
    <row r="16" spans="1:19">
      <c r="A16" s="38" t="s">
        <v>199</v>
      </c>
      <c r="B16" s="49">
        <f>B17/(B12+Assumptions!$B$19*B11+Assumptions!$B$18*B10)</f>
        <v>6874.2803801765103</v>
      </c>
      <c r="C16" s="49">
        <f>C17/(C12+Assumptions!$B$19*C11+Assumptions!$B$18*C10)</f>
        <v>7962.1094029317119</v>
      </c>
      <c r="D16" s="49">
        <f>D17/(D12+Assumptions!$B$19*D11+Assumptions!$B$18*D10)</f>
        <v>10148.432759327594</v>
      </c>
      <c r="E16" s="49">
        <f>E17/(E12+Assumptions!$B$19*E11+Assumptions!$B$18*E10)</f>
        <v>11469.414156761104</v>
      </c>
      <c r="F16" s="49">
        <f>F17/(F12+Assumptions!$B$19*F11+Assumptions!$B$18*F10)</f>
        <v>11592.662759385395</v>
      </c>
      <c r="G16" s="49">
        <f>G17/(G12+Assumptions!$B$19*G11+Assumptions!$B$18*G10)</f>
        <v>11848.853307968717</v>
      </c>
      <c r="H16" s="49">
        <f>G16*(1+Assumptions!B28)</f>
        <v>12500.540239906995</v>
      </c>
      <c r="I16" s="49">
        <f>H16*(1+Assumptions!C28)</f>
        <v>13169.319142742021</v>
      </c>
      <c r="J16" s="49">
        <f>I16*(1+Assumptions!D28)</f>
        <v>13854.123738164606</v>
      </c>
      <c r="K16" s="49">
        <f>J16*(1+Assumptions!E28)</f>
        <v>14553.756986941919</v>
      </c>
      <c r="L16" s="49">
        <f>K16*(1+Assumptions!F28)</f>
        <v>15266.891079302071</v>
      </c>
    </row>
    <row r="17" spans="1:14">
      <c r="A17" s="38" t="s">
        <v>9</v>
      </c>
      <c r="B17" s="49">
        <f>'Source Data'!B5</f>
        <v>10125815</v>
      </c>
      <c r="C17" s="49">
        <f>'Source Data'!C5</f>
        <v>13362012</v>
      </c>
      <c r="D17" s="49">
        <f>'Source Data'!D5</f>
        <v>19801622</v>
      </c>
      <c r="E17" s="49">
        <f>'Source Data'!E5</f>
        <v>25666255</v>
      </c>
      <c r="F17" s="49">
        <f>'Source Data'!F5</f>
        <v>29273792</v>
      </c>
      <c r="G17" s="49">
        <f>'Source Data'!G5</f>
        <v>33634155</v>
      </c>
      <c r="H17" s="53">
        <f>(H16*(H12+Assumptions!$B$19*H11+Assumptions!$B$18*H10))</f>
        <v>39326449.583942607</v>
      </c>
      <c r="I17" s="53">
        <f>(I16*(I12+Assumptions!$B$19*I11+Assumptions!$B$18*I10))</f>
        <v>45510535.72735171</v>
      </c>
      <c r="J17" s="53">
        <f>(J16*(J12+Assumptions!$B$19*J11+Assumptions!$B$18*J10))</f>
        <v>51967771.527234606</v>
      </c>
      <c r="K17" s="53">
        <f>(K16*(K12+Assumptions!$B$19*K11+Assumptions!$B$18*K10))</f>
        <v>58713668.291126758</v>
      </c>
      <c r="L17" s="53">
        <f>(L16*(L12+Assumptions!$B$19*L11+Assumptions!$B$18*L10))</f>
        <v>65628073.804951631</v>
      </c>
    </row>
    <row r="18" spans="1:14">
      <c r="A18" s="1" t="s">
        <v>200</v>
      </c>
      <c r="B18" s="50">
        <v>0</v>
      </c>
      <c r="C18" s="51">
        <f t="shared" ref="C18:H18" si="6">C17/B17-1</f>
        <v>0.31959866934167769</v>
      </c>
      <c r="D18" s="51">
        <f t="shared" si="6"/>
        <v>0.48193415781994497</v>
      </c>
      <c r="E18" s="51">
        <f t="shared" si="6"/>
        <v>0.29616932390690009</v>
      </c>
      <c r="F18" s="51">
        <f t="shared" si="6"/>
        <v>0.14055564397688713</v>
      </c>
      <c r="G18" s="51">
        <f t="shared" si="6"/>
        <v>0.14895108225131892</v>
      </c>
      <c r="H18" s="54">
        <f t="shared" si="6"/>
        <v>0.16924149228492902</v>
      </c>
      <c r="I18" s="54">
        <f t="shared" ref="I18:L18" si="7">I17/H17-1</f>
        <v>0.1572500494917326</v>
      </c>
      <c r="J18" s="54">
        <f t="shared" si="7"/>
        <v>0.14188441635948745</v>
      </c>
      <c r="K18" s="54">
        <f t="shared" si="7"/>
        <v>0.12980923687206491</v>
      </c>
      <c r="L18" s="54">
        <f t="shared" si="7"/>
        <v>0.11776483594144338</v>
      </c>
    </row>
    <row r="19" spans="1:14">
      <c r="A19" s="1" t="s">
        <v>25</v>
      </c>
      <c r="B19" s="51">
        <f>'Source Data'!B7/B17</f>
        <v>0.25714759750202826</v>
      </c>
      <c r="C19" s="51">
        <f>'Source Data'!C7/C17</f>
        <v>0.24874023462933575</v>
      </c>
      <c r="D19" s="51">
        <f>'Source Data'!D7/D17</f>
        <v>0.24053544704570162</v>
      </c>
      <c r="E19" s="51">
        <f>'Source Data'!E7/E17</f>
        <v>0.23083991022453412</v>
      </c>
      <c r="F19" s="51">
        <f>'Source Data'!F7/F17</f>
        <v>0.23265038571019428</v>
      </c>
      <c r="G19" s="51">
        <f>'Source Data'!G7/G17</f>
        <v>0.23520962545364971</v>
      </c>
      <c r="H19" s="52">
        <f>Assumptions!B30</f>
        <v>0.23699999999999999</v>
      </c>
      <c r="I19" s="52">
        <f>Assumptions!C30</f>
        <v>0.23799999999999999</v>
      </c>
      <c r="J19" s="52">
        <f>Assumptions!D30</f>
        <v>0.23899999999999999</v>
      </c>
      <c r="K19" s="52">
        <f>Assumptions!E30</f>
        <v>0.24</v>
      </c>
      <c r="L19" s="52">
        <f>Assumptions!F30</f>
        <v>0.24</v>
      </c>
    </row>
    <row r="20" spans="1:14">
      <c r="A20" s="1" t="s">
        <v>201</v>
      </c>
      <c r="B20" s="51">
        <f>'Three-Statement Model'!B15/'Three-Statement Model'!B6</f>
        <v>0.10231324589675003</v>
      </c>
      <c r="C20" s="51">
        <f>'Three-Statement Model'!C15/'Three-Statement Model'!C6</f>
        <v>9.5145551433421849E-2</v>
      </c>
      <c r="D20" s="51">
        <f>'Three-Statement Model'!D15/'Three-Statement Model'!D6</f>
        <v>9.2818052985760457E-2</v>
      </c>
      <c r="E20" s="51">
        <f>'Three-Statement Model'!E15/'Three-Statement Model'!E6</f>
        <v>8.6989044564545939E-2</v>
      </c>
      <c r="F20" s="51">
        <f>'Three-Statement Model'!F15/'Three-Statement Model'!F6</f>
        <v>7.9166682608115824E-2</v>
      </c>
      <c r="G20" s="51">
        <f>'Three-Statement Model'!G15/'Three-Statement Model'!G6</f>
        <v>7.570616832799873E-2</v>
      </c>
      <c r="H20" s="51">
        <f>'Three-Statement Model'!H15/'Three-Statement Model'!H6</f>
        <v>7.8835112275460306E-2</v>
      </c>
      <c r="I20" s="51">
        <f>'Three-Statement Model'!I15/'Three-Statement Model'!I6</f>
        <v>8.125788961663627E-2</v>
      </c>
      <c r="J20" s="51">
        <f>'Three-Statement Model'!J15/'Three-Statement Model'!J6</f>
        <v>8.3647997512514297E-2</v>
      </c>
      <c r="K20" s="51">
        <f>'Three-Statement Model'!K15/'Three-Statement Model'!K6</f>
        <v>8.6032877906451741E-2</v>
      </c>
      <c r="L20" s="51">
        <f>'Three-Statement Model'!L15/'Three-Statement Model'!L6</f>
        <v>8.7413546738899686E-2</v>
      </c>
    </row>
    <row r="21" spans="1:14">
      <c r="A21" s="1" t="s">
        <v>14</v>
      </c>
      <c r="B21" s="51">
        <f>'Three-Statement Model'!B18/'Three-Statement Model'!B6</f>
        <v>8.2744845723529414E-2</v>
      </c>
      <c r="C21" s="51">
        <f>'Three-Statement Model'!C18/'Three-Statement Model'!C6</f>
        <v>7.6634641549491206E-2</v>
      </c>
      <c r="D21" s="51">
        <f>'Three-Statement Model'!D18/'Three-Statement Model'!D6</f>
        <v>7.7661264314610193E-2</v>
      </c>
      <c r="E21" s="51">
        <f>'Three-Statement Model'!E18/'Three-Statement Model'!E6</f>
        <v>7.3086431970694601E-2</v>
      </c>
      <c r="F21" s="51">
        <f>'Three-Statement Model'!F18/'Three-Statement Model'!F6</f>
        <v>6.5189026416529849E-2</v>
      </c>
      <c r="G21" s="51">
        <f>'Three-Statement Model'!G18/'Three-Statement Model'!G6</f>
        <v>6.0690747247849695E-2</v>
      </c>
      <c r="H21" s="51">
        <f>'Three-Statement Model'!H18/'Three-Statement Model'!H6</f>
        <v>6.3835112275460307E-2</v>
      </c>
      <c r="I21" s="51">
        <f>'Three-Statement Model'!I18/'Three-Statement Model'!I6</f>
        <v>6.625788961663627E-2</v>
      </c>
      <c r="J21" s="51">
        <f>'Three-Statement Model'!J18/'Three-Statement Model'!J6</f>
        <v>6.8647997512514297E-2</v>
      </c>
      <c r="K21" s="51">
        <f>'Three-Statement Model'!K18/'Three-Statement Model'!K6</f>
        <v>7.1032877906451741E-2</v>
      </c>
      <c r="L21" s="51">
        <f>'Three-Statement Model'!L18/'Three-Statement Model'!L6</f>
        <v>7.2413546738899673E-2</v>
      </c>
    </row>
    <row r="22" spans="1:14">
      <c r="A22" s="1" t="s">
        <v>26</v>
      </c>
      <c r="B22" s="51">
        <f>-'Three-Statement Model'!B35/'Three-Statement Model'!B6</f>
        <v>9.8957466633549984E-2</v>
      </c>
      <c r="C22" s="51">
        <f>-'Three-Statement Model'!C35/'Three-Statement Model'!C6</f>
        <v>9.9955306132040594E-2</v>
      </c>
      <c r="D22" s="51">
        <f>-'Three-Statement Model'!D35/'Three-Statement Model'!D6</f>
        <v>7.3019523350157878E-2</v>
      </c>
      <c r="E22" s="51">
        <f>-'Three-Statement Model'!E35/'Three-Statement Model'!E6</f>
        <v>4.5696693966455176E-2</v>
      </c>
      <c r="F22" s="51">
        <f>-'Three-Statement Model'!F35/'Three-Statement Model'!F6</f>
        <v>5.3355369881701697E-2</v>
      </c>
      <c r="G22" s="51">
        <f>-'Three-Statement Model'!G35/'Three-Statement Model'!G6</f>
        <v>6.2051298746765009E-2</v>
      </c>
      <c r="H22" s="51">
        <f>-'Three-Statement Model'!H35/'Three-Statement Model'!H6</f>
        <v>6.0999999999999999E-2</v>
      </c>
      <c r="I22" s="51">
        <f>-'Three-Statement Model'!I35/'Three-Statement Model'!I6</f>
        <v>5.2999999999999999E-2</v>
      </c>
      <c r="J22" s="51">
        <f>-'Three-Statement Model'!J35/'Three-Statement Model'!J6</f>
        <v>4.4999999999999991E-2</v>
      </c>
      <c r="K22" s="51">
        <f>-'Three-Statement Model'!K35/'Three-Statement Model'!K6</f>
        <v>3.6999999999999998E-2</v>
      </c>
      <c r="L22" s="51">
        <f>-'Three-Statement Model'!L35/'Three-Statement Model'!L6</f>
        <v>2.9000000000000001E-2</v>
      </c>
    </row>
    <row r="23" spans="1:14">
      <c r="A23" s="1" t="s">
        <v>202</v>
      </c>
      <c r="B23" s="51">
        <f>'Three-Statement Model'!B90/'Three-Statement Model'!B6</f>
        <v>-7.7554843733566137E-2</v>
      </c>
      <c r="C23" s="51">
        <f>'Three-Statement Model'!C90/'Three-Statement Model'!C6</f>
        <v>-7.8189048176277642E-2</v>
      </c>
      <c r="D23" s="51">
        <f>'Three-Statement Model'!D90/'Three-Statement Model'!D6</f>
        <v>-3.4259011711262846E-2</v>
      </c>
      <c r="E23" s="51">
        <f>'Three-Statement Model'!E90/'Three-Statement Model'!E6</f>
        <v>-2.134927748516486E-2</v>
      </c>
      <c r="F23" s="51">
        <f>'Three-Statement Model'!F90/'Three-Statement Model'!F6</f>
        <v>-4.2793909309733431E-2</v>
      </c>
      <c r="G23" s="51">
        <f>'Three-Statement Model'!G90/'Three-Statement Model'!G6</f>
        <v>-5.0406023281988205E-2</v>
      </c>
      <c r="H23" s="51">
        <f>'Three-Statement Model'!H90/'Three-Statement Model'!H6</f>
        <v>-1.9823991295547249E-2</v>
      </c>
      <c r="I23" s="51">
        <f>'Three-Statement Model'!I90/'Three-Statement Model'!I6</f>
        <v>-2.0139292872638673E-2</v>
      </c>
      <c r="J23" s="51">
        <f>'Three-Statement Model'!J90/'Three-Statement Model'!J6</f>
        <v>-2.0409395867948172E-2</v>
      </c>
      <c r="K23" s="51">
        <f>'Three-Statement Model'!K90/'Three-Statement Model'!K6</f>
        <v>-2.0636702954696922E-2</v>
      </c>
      <c r="L23" s="51">
        <f>'Three-Statement Model'!L90/'Three-Statement Model'!L6</f>
        <v>-2.1023551228625568E-2</v>
      </c>
    </row>
    <row r="27" spans="1:14"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</row>
    <row r="28" spans="1:14">
      <c r="C28" s="80"/>
      <c r="D28" s="80"/>
      <c r="E28" s="80"/>
      <c r="F28" s="80"/>
      <c r="G28" s="80"/>
      <c r="H28" s="80"/>
      <c r="I28" s="80"/>
      <c r="J28" s="80"/>
      <c r="K28" s="80"/>
      <c r="L28" s="80"/>
    </row>
    <row r="29" spans="1:14"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</row>
    <row r="31" spans="1:14">
      <c r="B31" s="81"/>
      <c r="C31" s="81"/>
      <c r="D31" s="81"/>
      <c r="E31" s="81"/>
      <c r="F31" s="81"/>
      <c r="G31" s="81"/>
      <c r="I31" s="81"/>
      <c r="J31" s="81"/>
      <c r="K31" s="81"/>
      <c r="L31" s="81"/>
      <c r="M31" s="81"/>
    </row>
    <row r="32" spans="1:14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</row>
    <row r="33" spans="2:7">
      <c r="B33" s="81"/>
      <c r="C33" s="81"/>
      <c r="D33" s="81"/>
      <c r="E33" s="81"/>
      <c r="F33" s="81"/>
      <c r="G33" s="81"/>
    </row>
    <row r="34" spans="2:7">
      <c r="B34" s="81"/>
      <c r="C34" s="81"/>
      <c r="D34" s="81"/>
      <c r="E34" s="81"/>
      <c r="F34" s="81"/>
      <c r="G34" s="81"/>
    </row>
    <row r="38" spans="2:7">
      <c r="B38" s="82"/>
      <c r="C38" s="82"/>
      <c r="D38" s="82"/>
      <c r="E38" s="82"/>
      <c r="F38" s="82"/>
      <c r="G38" s="82"/>
    </row>
  </sheetData>
  <mergeCells count="3">
    <mergeCell ref="A1:L1"/>
    <mergeCell ref="A2:L2"/>
    <mergeCell ref="A5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2"/>
  <sheetViews>
    <sheetView showGridLines="0" tabSelected="1" zoomScale="147" zoomScaleNormal="77" workbookViewId="0">
      <selection activeCell="I73" sqref="I73"/>
    </sheetView>
  </sheetViews>
  <sheetFormatPr defaultRowHeight="13.9"/>
  <cols>
    <col min="1" max="1" width="45.75" customWidth="1"/>
    <col min="2" max="12" width="13" customWidth="1"/>
    <col min="14" max="14" width="11.25" bestFit="1" customWidth="1"/>
  </cols>
  <sheetData>
    <row r="1" spans="1:19" ht="22.15" customHeight="1">
      <c r="A1" s="85" t="s">
        <v>203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9" ht="30" customHeight="1">
      <c r="A2" s="83" t="s">
        <v>204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9" ht="18" customHeight="1">
      <c r="A3" s="99" t="s">
        <v>3</v>
      </c>
      <c r="B3" s="100">
        <v>2020</v>
      </c>
      <c r="C3" s="100">
        <v>2021</v>
      </c>
      <c r="D3" s="100">
        <v>2022</v>
      </c>
      <c r="E3" s="100">
        <v>2023</v>
      </c>
      <c r="F3" s="100">
        <v>2024</v>
      </c>
      <c r="G3" s="100">
        <v>2025</v>
      </c>
      <c r="H3" s="100">
        <v>2026</v>
      </c>
      <c r="I3" s="100">
        <v>2027</v>
      </c>
      <c r="J3" s="100">
        <v>2028</v>
      </c>
      <c r="K3" s="100">
        <v>2029</v>
      </c>
      <c r="L3" s="100">
        <v>2030</v>
      </c>
    </row>
    <row r="4" spans="1:19" ht="18" customHeight="1">
      <c r="A4" s="99" t="s">
        <v>191</v>
      </c>
      <c r="B4" s="93" t="s">
        <v>59</v>
      </c>
      <c r="C4" s="93" t="s">
        <v>60</v>
      </c>
      <c r="D4" s="93" t="s">
        <v>61</v>
      </c>
      <c r="E4" s="93" t="s">
        <v>62</v>
      </c>
      <c r="F4" s="93" t="s">
        <v>63</v>
      </c>
      <c r="G4" s="93" t="s">
        <v>64</v>
      </c>
      <c r="H4" s="93" t="s">
        <v>4</v>
      </c>
      <c r="I4" s="93" t="s">
        <v>20</v>
      </c>
      <c r="J4" s="93" t="s">
        <v>21</v>
      </c>
      <c r="K4" s="93" t="s">
        <v>22</v>
      </c>
      <c r="L4" s="93" t="s">
        <v>5</v>
      </c>
    </row>
    <row r="5" spans="1:19" ht="18" customHeight="1">
      <c r="A5" s="90" t="s">
        <v>205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9">
      <c r="A6" s="1" t="s">
        <v>31</v>
      </c>
      <c r="B6" s="6">
        <f>'Source Data'!B5</f>
        <v>10125815</v>
      </c>
      <c r="C6" s="6">
        <f>'Source Data'!C5</f>
        <v>13362012</v>
      </c>
      <c r="D6" s="6">
        <f>'Source Data'!D5</f>
        <v>19801622</v>
      </c>
      <c r="E6" s="6">
        <f>'Source Data'!E5</f>
        <v>25666255</v>
      </c>
      <c r="F6" s="6">
        <f>'Source Data'!F5</f>
        <v>29273792</v>
      </c>
      <c r="G6" s="6">
        <f>'Source Data'!G5</f>
        <v>33634155</v>
      </c>
      <c r="H6" s="6">
        <f>'Operating Drivers'!H17</f>
        <v>39326449.583942607</v>
      </c>
      <c r="I6" s="6">
        <f>'Operating Drivers'!I17</f>
        <v>45510535.72735171</v>
      </c>
      <c r="J6" s="6">
        <f>'Operating Drivers'!J17</f>
        <v>51967771.527234606</v>
      </c>
      <c r="K6" s="6">
        <f>'Operating Drivers'!K17</f>
        <v>58713668.291126758</v>
      </c>
      <c r="L6" s="6">
        <f>'Operating Drivers'!L17</f>
        <v>65628073.804951631</v>
      </c>
    </row>
    <row r="7" spans="1:19">
      <c r="A7" s="1" t="s">
        <v>200</v>
      </c>
      <c r="B7" s="5"/>
      <c r="C7" s="40">
        <f t="shared" ref="C7:L7" si="0">C6/B6-1</f>
        <v>0.31959866934167769</v>
      </c>
      <c r="D7" s="40">
        <f t="shared" si="0"/>
        <v>0.48193415781994497</v>
      </c>
      <c r="E7" s="40">
        <f t="shared" si="0"/>
        <v>0.29616932390690009</v>
      </c>
      <c r="F7" s="40">
        <f t="shared" si="0"/>
        <v>0.14055564397688713</v>
      </c>
      <c r="G7" s="40">
        <f t="shared" si="0"/>
        <v>0.14895108225131892</v>
      </c>
      <c r="H7" s="4">
        <f t="shared" si="0"/>
        <v>0.16924149228492902</v>
      </c>
      <c r="I7" s="4">
        <f t="shared" si="0"/>
        <v>0.1572500494917326</v>
      </c>
      <c r="J7" s="4">
        <f t="shared" si="0"/>
        <v>0.14188441635948745</v>
      </c>
      <c r="K7" s="4">
        <f t="shared" si="0"/>
        <v>0.12980923687206491</v>
      </c>
      <c r="L7" s="4">
        <f t="shared" si="0"/>
        <v>0.11776483594144338</v>
      </c>
      <c r="N7" s="23"/>
      <c r="O7" s="23"/>
      <c r="P7" s="23"/>
      <c r="Q7" s="23"/>
      <c r="R7" s="23"/>
      <c r="S7" s="23"/>
    </row>
    <row r="8" spans="1:19">
      <c r="A8" s="1" t="s">
        <v>99</v>
      </c>
      <c r="B8" s="41">
        <f>'Source Data'!B6</f>
        <v>-7521986</v>
      </c>
      <c r="C8" s="41">
        <f>'Source Data'!C6</f>
        <v>-10038342</v>
      </c>
      <c r="D8" s="41">
        <f>'Source Data'!D6</f>
        <v>-15038630</v>
      </c>
      <c r="E8" s="41">
        <f>'Source Data'!E6</f>
        <v>-19741459</v>
      </c>
      <c r="F8" s="41">
        <f>'Source Data'!F6</f>
        <v>-22463233</v>
      </c>
      <c r="G8" s="41">
        <f>'Source Data'!G6</f>
        <v>-25723078</v>
      </c>
      <c r="H8" s="41">
        <f>-H6*(1-Assumptions!B30)</f>
        <v>-30006081.032548208</v>
      </c>
      <c r="I8" s="41">
        <f>-I6*(1-Assumptions!C30)</f>
        <v>-34679028.224242002</v>
      </c>
      <c r="J8" s="41">
        <f>-J6*(1-Assumptions!D30)</f>
        <v>-39547474.132225536</v>
      </c>
      <c r="K8" s="41">
        <f>-K6*(1-Assumptions!E30)</f>
        <v>-44622387.901256338</v>
      </c>
      <c r="L8" s="41">
        <f>-L6*(1-Assumptions!F30)</f>
        <v>-49877336.091763243</v>
      </c>
    </row>
    <row r="9" spans="1:19">
      <c r="A9" s="8" t="s">
        <v>206</v>
      </c>
      <c r="B9" s="21">
        <f t="shared" ref="B9:L9" si="1">B6+B8</f>
        <v>2603829</v>
      </c>
      <c r="C9" s="21">
        <f t="shared" si="1"/>
        <v>3323670</v>
      </c>
      <c r="D9" s="21">
        <f t="shared" si="1"/>
        <v>4762992</v>
      </c>
      <c r="E9" s="21">
        <f t="shared" si="1"/>
        <v>5924796</v>
      </c>
      <c r="F9" s="21">
        <f t="shared" si="1"/>
        <v>6810559</v>
      </c>
      <c r="G9" s="21">
        <f t="shared" si="1"/>
        <v>7911077</v>
      </c>
      <c r="H9" s="18">
        <f t="shared" si="1"/>
        <v>9320368.5513943993</v>
      </c>
      <c r="I9" s="18">
        <f t="shared" si="1"/>
        <v>10831507.503109708</v>
      </c>
      <c r="J9" s="18">
        <f t="shared" si="1"/>
        <v>12420297.395009071</v>
      </c>
      <c r="K9" s="18">
        <f t="shared" si="1"/>
        <v>14091280.38987042</v>
      </c>
      <c r="L9" s="18">
        <f t="shared" si="1"/>
        <v>15750737.713188387</v>
      </c>
      <c r="Q9" s="30"/>
    </row>
    <row r="10" spans="1:19">
      <c r="A10" s="1" t="s">
        <v>25</v>
      </c>
      <c r="B10" s="40">
        <f t="shared" ref="B10:L10" si="2">B9/B6</f>
        <v>0.25714759750202826</v>
      </c>
      <c r="C10" s="40">
        <f t="shared" si="2"/>
        <v>0.24874023462933575</v>
      </c>
      <c r="D10" s="40">
        <f t="shared" si="2"/>
        <v>0.24053544704570162</v>
      </c>
      <c r="E10" s="40">
        <f t="shared" si="2"/>
        <v>0.23083991022453412</v>
      </c>
      <c r="F10" s="40">
        <f t="shared" si="2"/>
        <v>0.23265038571019428</v>
      </c>
      <c r="G10" s="40">
        <f t="shared" si="2"/>
        <v>0.23520962545364971</v>
      </c>
      <c r="H10" s="40">
        <f t="shared" si="2"/>
        <v>0.23700000000000004</v>
      </c>
      <c r="I10" s="4">
        <f t="shared" si="2"/>
        <v>0.23800000000000002</v>
      </c>
      <c r="J10" s="4">
        <f t="shared" si="2"/>
        <v>0.23899999999999999</v>
      </c>
      <c r="K10" s="4">
        <f t="shared" si="2"/>
        <v>0.23999999999999996</v>
      </c>
      <c r="L10" s="4">
        <f t="shared" si="2"/>
        <v>0.23999999999999994</v>
      </c>
    </row>
    <row r="11" spans="1:19">
      <c r="A11" s="1" t="s">
        <v>101</v>
      </c>
      <c r="B11" s="6">
        <f>'Source Data'!B8</f>
        <v>7598</v>
      </c>
      <c r="C11" s="6">
        <f>'Source Data'!C8</f>
        <v>14364</v>
      </c>
      <c r="D11" s="6">
        <f>'Source Data'!D8</f>
        <v>16282</v>
      </c>
      <c r="E11" s="6">
        <f>'Source Data'!E8</f>
        <v>13477</v>
      </c>
      <c r="F11" s="6">
        <f>'Source Data'!F8</f>
        <v>24185</v>
      </c>
      <c r="G11" s="6">
        <f>'Source Data'!G8</f>
        <v>29231</v>
      </c>
      <c r="H11" s="39">
        <f>H6*Assumptions!B32</f>
        <v>31461.159667154086</v>
      </c>
      <c r="I11" s="39">
        <f>I6*Assumptions!C32</f>
        <v>36408.428581881373</v>
      </c>
      <c r="J11" s="39">
        <f>J6*Assumptions!D32</f>
        <v>41574.217221787687</v>
      </c>
      <c r="K11" s="39">
        <f>K6*Assumptions!E32</f>
        <v>46970.934632901408</v>
      </c>
      <c r="L11" s="39">
        <f>L6*Assumptions!F32</f>
        <v>52502.459043961309</v>
      </c>
    </row>
    <row r="12" spans="1:19">
      <c r="A12" s="1" t="s">
        <v>72</v>
      </c>
      <c r="B12" s="41">
        <f>'Source Data'!B9</f>
        <v>-1668084</v>
      </c>
      <c r="C12" s="41">
        <f>'Source Data'!C9</f>
        <v>-2181963</v>
      </c>
      <c r="D12" s="41">
        <f>'Source Data'!D9</f>
        <v>-3080061</v>
      </c>
      <c r="E12" s="41">
        <f>'Source Data'!E9</f>
        <v>-3878421</v>
      </c>
      <c r="F12" s="41">
        <f>'Source Data'!F9</f>
        <v>-4678717</v>
      </c>
      <c r="G12" s="41">
        <f>'Source Data'!G9</f>
        <v>-5576262</v>
      </c>
      <c r="H12" s="42">
        <f>-H6*Assumptions!B34</f>
        <v>-6477066.2464753482</v>
      </c>
      <c r="I12" s="42">
        <f>-I6*Assumptions!C34</f>
        <v>-7445523.6449947394</v>
      </c>
      <c r="J12" s="42">
        <f>-J6*Assumptions!D34</f>
        <v>-8444762.8731756248</v>
      </c>
      <c r="K12" s="42">
        <f>-K6*Assumptions!E34</f>
        <v>-9476386.0621878579</v>
      </c>
      <c r="L12" s="42">
        <f>-L6*Assumptions!F34</f>
        <v>-10520180.230933746</v>
      </c>
    </row>
    <row r="13" spans="1:19">
      <c r="A13" s="1" t="s">
        <v>102</v>
      </c>
      <c r="B13" s="41">
        <f>'Source Data'!B10</f>
        <v>-99783</v>
      </c>
      <c r="C13" s="41">
        <f>'Source Data'!C10</f>
        <v>-117285</v>
      </c>
      <c r="D13" s="41">
        <f>'Source Data'!D10</f>
        <v>-143217</v>
      </c>
      <c r="E13" s="41">
        <f>'Source Data'!E10</f>
        <v>-173736</v>
      </c>
      <c r="F13" s="41">
        <f>'Source Data'!F10</f>
        <v>-233653</v>
      </c>
      <c r="G13" s="41">
        <f>'Source Data'!G10</f>
        <v>-302944</v>
      </c>
      <c r="H13" s="42">
        <f>G13*(1+'Operating Drivers'!H7+Assumptions!B29)</f>
        <v>-343841.44</v>
      </c>
      <c r="I13" s="42">
        <f>H13*(1+'Operating Drivers'!I7+Assumptions!C29)</f>
        <v>-385790.09568000003</v>
      </c>
      <c r="J13" s="42">
        <f>I13*(1+'Operating Drivers'!J7+Assumptions!D29)</f>
        <v>-427841.21610912005</v>
      </c>
      <c r="K13" s="42">
        <f>J13*(1+'Operating Drivers'!K7+Assumptions!E29)</f>
        <v>-468913.97285559564</v>
      </c>
      <c r="L13" s="42">
        <f>K13*(1+'Operating Drivers'!L7+Assumptions!F29)</f>
        <v>-507833.83260261005</v>
      </c>
    </row>
    <row r="14" spans="1:19">
      <c r="A14" s="1" t="s">
        <v>103</v>
      </c>
      <c r="B14" s="41">
        <f>'Source Data'!B11</f>
        <v>-5701</v>
      </c>
      <c r="C14" s="41">
        <f>'Source Data'!C11</f>
        <v>-14793</v>
      </c>
      <c r="D14" s="41">
        <f>'Source Data'!D11</f>
        <v>-18177</v>
      </c>
      <c r="E14" s="41">
        <f>'Source Data'!E11</f>
        <v>-10261</v>
      </c>
      <c r="F14" s="41">
        <f>'Source Data'!F11</f>
        <v>-14044</v>
      </c>
      <c r="G14" s="41">
        <f>'Source Data'!G11</f>
        <v>-19820</v>
      </c>
      <c r="H14" s="43">
        <f>G14*(1+Assumptions!B29)</f>
        <v>-20513.699999999997</v>
      </c>
      <c r="I14" s="43">
        <f>H14*(1+Assumptions!C29)</f>
        <v>-21170.138399999996</v>
      </c>
      <c r="J14" s="43">
        <f>I14*(1+Assumptions!D29)</f>
        <v>-21784.072413599995</v>
      </c>
      <c r="K14" s="43">
        <f>J14*(1+Assumptions!E29)</f>
        <v>-22350.458296353594</v>
      </c>
      <c r="L14" s="43">
        <f>K14*(1+Assumptions!F29)</f>
        <v>-22864.518837169726</v>
      </c>
      <c r="N14" s="31"/>
      <c r="O14" s="31"/>
      <c r="P14" s="31"/>
      <c r="Q14" s="31"/>
      <c r="R14" s="31"/>
      <c r="S14" s="31"/>
    </row>
    <row r="15" spans="1:19">
      <c r="A15" s="8" t="s">
        <v>32</v>
      </c>
      <c r="B15" s="21">
        <f>SUM(B6,B8,B11,B12,B13,B14,-B17)</f>
        <v>1036005</v>
      </c>
      <c r="C15" s="21">
        <f t="shared" ref="C15:L15" si="3">SUM(C6,C8,C11,C12,C13,C14,-C17)</f>
        <v>1271336</v>
      </c>
      <c r="D15" s="21">
        <f t="shared" si="3"/>
        <v>1837948</v>
      </c>
      <c r="E15" s="21">
        <f t="shared" si="3"/>
        <v>2232683</v>
      </c>
      <c r="F15" s="21">
        <f t="shared" si="3"/>
        <v>2317509</v>
      </c>
      <c r="G15" s="21">
        <f t="shared" si="3"/>
        <v>2546313</v>
      </c>
      <c r="H15" s="21">
        <f t="shared" si="3"/>
        <v>3100305.0683453446</v>
      </c>
      <c r="I15" s="21">
        <f t="shared" si="3"/>
        <v>3698090.0885271267</v>
      </c>
      <c r="J15" s="21">
        <f t="shared" si="3"/>
        <v>4347000.0234410316</v>
      </c>
      <c r="K15" s="21">
        <f t="shared" si="3"/>
        <v>5051305.8555304157</v>
      </c>
      <c r="L15" s="21">
        <f t="shared" si="3"/>
        <v>5736782.6969330972</v>
      </c>
      <c r="N15" s="25"/>
    </row>
    <row r="16" spans="1:19">
      <c r="A16" s="1" t="s">
        <v>201</v>
      </c>
      <c r="B16" s="40">
        <f t="shared" ref="B16:L16" si="4">B15/B6</f>
        <v>0.10231324589675003</v>
      </c>
      <c r="C16" s="40">
        <f t="shared" si="4"/>
        <v>9.5145551433421849E-2</v>
      </c>
      <c r="D16" s="40">
        <f t="shared" si="4"/>
        <v>9.2818052985760457E-2</v>
      </c>
      <c r="E16" s="40">
        <f t="shared" si="4"/>
        <v>8.6989044564545939E-2</v>
      </c>
      <c r="F16" s="40">
        <f t="shared" si="4"/>
        <v>7.9166682608115824E-2</v>
      </c>
      <c r="G16" s="40">
        <f t="shared" si="4"/>
        <v>7.570616832799873E-2</v>
      </c>
      <c r="H16" s="4">
        <f t="shared" si="4"/>
        <v>7.8835112275460306E-2</v>
      </c>
      <c r="I16" s="4">
        <f t="shared" si="4"/>
        <v>8.125788961663627E-2</v>
      </c>
      <c r="J16" s="4">
        <f t="shared" si="4"/>
        <v>8.3647997512514297E-2</v>
      </c>
      <c r="K16" s="4">
        <f t="shared" si="4"/>
        <v>8.6032877906451741E-2</v>
      </c>
      <c r="L16" s="4">
        <f t="shared" si="4"/>
        <v>8.7413546738899686E-2</v>
      </c>
      <c r="N16" s="5"/>
      <c r="O16" s="5"/>
      <c r="P16" s="5"/>
      <c r="Q16" s="5"/>
      <c r="R16" s="5"/>
    </row>
    <row r="17" spans="1:20">
      <c r="A17" s="1" t="s">
        <v>207</v>
      </c>
      <c r="B17" s="41">
        <f>-'Source Data'!B68</f>
        <v>-198146</v>
      </c>
      <c r="C17" s="41">
        <f>-'Source Data'!C68</f>
        <v>-247343</v>
      </c>
      <c r="D17" s="41">
        <f>-'Source Data'!D68</f>
        <v>-300129</v>
      </c>
      <c r="E17" s="41">
        <f>-'Source Data'!E68</f>
        <v>-356828</v>
      </c>
      <c r="F17" s="41">
        <f>-'Source Data'!F68</f>
        <v>-409179</v>
      </c>
      <c r="G17" s="41">
        <f>-'Source Data'!G68</f>
        <v>-505031</v>
      </c>
      <c r="H17" s="43">
        <f>-H6*Assumptions!B33</f>
        <v>-589896.74375913909</v>
      </c>
      <c r="I17" s="43">
        <f>-I6*Assumptions!C33</f>
        <v>-682658.03591027565</v>
      </c>
      <c r="J17" s="43">
        <f>-J6*Assumptions!D33</f>
        <v>-779516.57290851907</v>
      </c>
      <c r="K17" s="43">
        <f>-K6*Assumptions!E33</f>
        <v>-880705.02436690137</v>
      </c>
      <c r="L17" s="43">
        <f>-L6*Assumptions!F33</f>
        <v>-984421.10707427445</v>
      </c>
    </row>
    <row r="18" spans="1:20">
      <c r="A18" s="8" t="s">
        <v>208</v>
      </c>
      <c r="B18" s="21">
        <f t="shared" ref="B18:L18" si="5">B15+B17</f>
        <v>837859</v>
      </c>
      <c r="C18" s="21">
        <f t="shared" si="5"/>
        <v>1023993</v>
      </c>
      <c r="D18" s="21">
        <f t="shared" si="5"/>
        <v>1537819</v>
      </c>
      <c r="E18" s="21">
        <f t="shared" si="5"/>
        <v>1875855</v>
      </c>
      <c r="F18" s="21">
        <f t="shared" si="5"/>
        <v>1908330</v>
      </c>
      <c r="G18" s="21">
        <f t="shared" si="5"/>
        <v>2041282</v>
      </c>
      <c r="H18" s="18">
        <f t="shared" si="5"/>
        <v>2510408.3245862057</v>
      </c>
      <c r="I18" s="18">
        <f t="shared" si="5"/>
        <v>3015432.0526168509</v>
      </c>
      <c r="J18" s="18">
        <f t="shared" si="5"/>
        <v>3567483.4505325127</v>
      </c>
      <c r="K18" s="18">
        <f t="shared" si="5"/>
        <v>4170600.8311635144</v>
      </c>
      <c r="L18" s="18">
        <f t="shared" si="5"/>
        <v>4752361.5898588225</v>
      </c>
    </row>
    <row r="19" spans="1:20">
      <c r="A19" s="1" t="s">
        <v>14</v>
      </c>
      <c r="B19" s="40">
        <f t="shared" ref="B19:L19" si="6">B18/B6</f>
        <v>8.2744845723529414E-2</v>
      </c>
      <c r="C19" s="40">
        <f t="shared" si="6"/>
        <v>7.6634641549491206E-2</v>
      </c>
      <c r="D19" s="40">
        <f t="shared" si="6"/>
        <v>7.7661264314610193E-2</v>
      </c>
      <c r="E19" s="40">
        <f t="shared" si="6"/>
        <v>7.3086431970694601E-2</v>
      </c>
      <c r="F19" s="40">
        <f t="shared" si="6"/>
        <v>6.5189026416529849E-2</v>
      </c>
      <c r="G19" s="40">
        <f t="shared" si="6"/>
        <v>6.0690747247849695E-2</v>
      </c>
      <c r="H19" s="4">
        <f t="shared" si="6"/>
        <v>6.3835112275460307E-2</v>
      </c>
      <c r="I19" s="4">
        <f t="shared" si="6"/>
        <v>6.625788961663627E-2</v>
      </c>
      <c r="J19" s="4">
        <f t="shared" si="6"/>
        <v>6.8647997512514297E-2</v>
      </c>
      <c r="K19" s="4">
        <f t="shared" si="6"/>
        <v>7.1032877906451741E-2</v>
      </c>
      <c r="L19" s="4">
        <f t="shared" si="6"/>
        <v>7.2413546738899673E-2</v>
      </c>
      <c r="N19" s="32"/>
    </row>
    <row r="20" spans="1:20">
      <c r="A20" s="1" t="s">
        <v>105</v>
      </c>
      <c r="B20" s="6">
        <f>'Source Data'!B13</f>
        <v>3237</v>
      </c>
      <c r="C20" s="6">
        <f>'Source Data'!C13</f>
        <v>1119</v>
      </c>
      <c r="D20" s="6">
        <f>'Source Data'!D13</f>
        <v>5092</v>
      </c>
      <c r="E20" s="6">
        <f>'Source Data'!E13</f>
        <v>10442</v>
      </c>
      <c r="F20" s="6">
        <f>'Source Data'!F13</f>
        <v>6657</v>
      </c>
      <c r="G20" s="6">
        <f>'Source Data'!G13</f>
        <v>8316</v>
      </c>
      <c r="H20" s="39">
        <f>G44*Assumptions!B14</f>
        <v>19096.28</v>
      </c>
      <c r="I20" s="39">
        <f>H44*Assumptions!B14</f>
        <v>470.06804800644983</v>
      </c>
      <c r="J20" s="39">
        <f>I44*Assumptions!B14</f>
        <v>15582.496307629972</v>
      </c>
      <c r="K20" s="39">
        <f>J44*Assumptions!B14</f>
        <v>43227.902216959505</v>
      </c>
      <c r="L20" s="39">
        <f>K44*Assumptions!B14</f>
        <v>86355.941093079862</v>
      </c>
      <c r="N20" s="25"/>
      <c r="O20" s="25"/>
      <c r="P20" s="25"/>
      <c r="Q20" s="25"/>
      <c r="R20" s="25"/>
      <c r="S20" s="25"/>
      <c r="T20" s="25"/>
    </row>
    <row r="21" spans="1:20">
      <c r="A21" s="1" t="s">
        <v>106</v>
      </c>
      <c r="B21" s="44">
        <f>'Source Data'!B14</f>
        <v>-30379</v>
      </c>
      <c r="C21" s="44">
        <f>'Source Data'!C14</f>
        <v>-26155</v>
      </c>
      <c r="D21" s="44">
        <f>'Source Data'!D14</f>
        <v>-124832</v>
      </c>
      <c r="E21" s="44">
        <f>'Source Data'!E14</f>
        <v>-127285</v>
      </c>
      <c r="F21" s="44">
        <f>'Source Data'!F14</f>
        <v>-90957</v>
      </c>
      <c r="G21" s="44">
        <f>'Source Data'!G14</f>
        <v>-67946</v>
      </c>
      <c r="H21" s="43">
        <f>G21*(1+Assumptions!B53)</f>
        <v>-72702.22</v>
      </c>
      <c r="I21" s="43">
        <f>H21*(1+Assumptions!C53)</f>
        <v>-77791.375400000004</v>
      </c>
      <c r="J21" s="43">
        <f>I21*(1+Assumptions!D53)</f>
        <v>-83236.771678000005</v>
      </c>
      <c r="K21" s="43">
        <f>J21*(1+Assumptions!E53)</f>
        <v>-89063.345695460011</v>
      </c>
      <c r="L21" s="43">
        <f>K21*(1+Assumptions!F53)</f>
        <v>-95297.779894142222</v>
      </c>
    </row>
    <row r="22" spans="1:20">
      <c r="A22" s="1" t="s">
        <v>107</v>
      </c>
      <c r="B22" s="44">
        <f>'Source Data'!B15</f>
        <v>-18139</v>
      </c>
      <c r="C22" s="44">
        <f>'Source Data'!C15</f>
        <v>-20434</v>
      </c>
      <c r="D22" s="44">
        <f>'Source Data'!D15</f>
        <v>-15839</v>
      </c>
      <c r="E22" s="44">
        <f>'Source Data'!E15</f>
        <v>-19600</v>
      </c>
      <c r="F22" s="44">
        <f>'Source Data'!F15</f>
        <v>-29836</v>
      </c>
      <c r="G22" s="44">
        <f>'Source Data'!G15</f>
        <v>-54614</v>
      </c>
      <c r="H22" s="43">
        <f>-G75*Assumptions!B54</f>
        <v>-57139.928999999996</v>
      </c>
      <c r="I22" s="43">
        <f>-H75*Assumptions!C54</f>
        <v>-66917.671124641754</v>
      </c>
      <c r="J22" s="43">
        <f>-I75*Assumptions!D54</f>
        <v>-77338.9834918712</v>
      </c>
      <c r="K22" s="43">
        <f>-J75*Assumptions!E54</f>
        <v>-88196.284777072826</v>
      </c>
      <c r="L22" s="43">
        <f>-K75*Assumptions!F54</f>
        <v>-99514.037675678512</v>
      </c>
    </row>
    <row r="23" spans="1:20">
      <c r="A23" s="1" t="s">
        <v>108</v>
      </c>
      <c r="B23" s="44">
        <f>'Source Data'!B16</f>
        <v>-3494</v>
      </c>
      <c r="C23" s="44">
        <f>'Source Data'!C16</f>
        <v>-56</v>
      </c>
      <c r="D23" s="44">
        <f>'Source Data'!D16</f>
        <v>-622</v>
      </c>
      <c r="E23" s="44">
        <f>'Source Data'!E16</f>
        <v>-431</v>
      </c>
      <c r="F23" s="44">
        <f>'Source Data'!F16</f>
        <v>-560</v>
      </c>
      <c r="G23" s="44">
        <f>'Source Data'!G16</f>
        <v>-277</v>
      </c>
      <c r="H23" s="42">
        <f>-'Debt and WACC'!H19</f>
        <v>0</v>
      </c>
      <c r="I23" s="42">
        <f>-'Debt and WACC'!I19</f>
        <v>0</v>
      </c>
      <c r="J23" s="42">
        <f>-'Debt and WACC'!J19</f>
        <v>0</v>
      </c>
      <c r="K23" s="42">
        <f>-'Debt and WACC'!K19</f>
        <v>0</v>
      </c>
      <c r="L23" s="42">
        <f>-'Debt and WACC'!L19</f>
        <v>0</v>
      </c>
      <c r="N23" s="33"/>
      <c r="O23" s="33"/>
      <c r="P23" s="33"/>
      <c r="Q23" s="33"/>
      <c r="R23" s="33"/>
      <c r="S23" s="33"/>
      <c r="T23" s="33"/>
    </row>
    <row r="24" spans="1:20">
      <c r="A24" s="1" t="s">
        <v>92</v>
      </c>
      <c r="B24" s="44">
        <f>'Source Data'!B17</f>
        <v>-84</v>
      </c>
      <c r="C24" s="44">
        <f>'Source Data'!C17</f>
        <v>-58</v>
      </c>
      <c r="D24" s="44">
        <f>'Source Data'!D17</f>
        <v>0</v>
      </c>
      <c r="E24" s="44">
        <f>'Source Data'!E17</f>
        <v>0</v>
      </c>
      <c r="F24" s="44">
        <f>'Source Data'!F17</f>
        <v>-71</v>
      </c>
      <c r="G24" s="44">
        <f>'Source Data'!G17</f>
        <v>-108</v>
      </c>
      <c r="H24" s="42">
        <f>-Assumptions!B56</f>
        <v>0</v>
      </c>
      <c r="I24" s="42">
        <f>-Assumptions!C56</f>
        <v>0</v>
      </c>
      <c r="J24" s="42">
        <f>-Assumptions!D56</f>
        <v>0</v>
      </c>
      <c r="K24" s="42">
        <f>-Assumptions!E56</f>
        <v>0</v>
      </c>
      <c r="L24" s="42">
        <f>-Assumptions!F56</f>
        <v>0</v>
      </c>
    </row>
    <row r="25" spans="1:20">
      <c r="A25" s="8" t="s">
        <v>209</v>
      </c>
      <c r="B25" s="46">
        <f t="shared" ref="B25:L25" si="7">SUM(B21:B24)</f>
        <v>-52096</v>
      </c>
      <c r="C25" s="46">
        <f t="shared" si="7"/>
        <v>-46703</v>
      </c>
      <c r="D25" s="46">
        <f t="shared" si="7"/>
        <v>-141293</v>
      </c>
      <c r="E25" s="46">
        <f t="shared" si="7"/>
        <v>-147316</v>
      </c>
      <c r="F25" s="46">
        <f t="shared" si="7"/>
        <v>-121424</v>
      </c>
      <c r="G25" s="46">
        <f t="shared" si="7"/>
        <v>-122945</v>
      </c>
      <c r="H25" s="45">
        <f t="shared" si="7"/>
        <v>-129842.149</v>
      </c>
      <c r="I25" s="45">
        <f t="shared" si="7"/>
        <v>-144709.04652464174</v>
      </c>
      <c r="J25" s="45">
        <f t="shared" si="7"/>
        <v>-160575.7551698712</v>
      </c>
      <c r="K25" s="45">
        <f t="shared" si="7"/>
        <v>-177259.63047253282</v>
      </c>
      <c r="L25" s="45">
        <f t="shared" si="7"/>
        <v>-194811.81756982073</v>
      </c>
    </row>
    <row r="26" spans="1:20">
      <c r="A26" s="8" t="s">
        <v>110</v>
      </c>
      <c r="B26" s="21">
        <f t="shared" ref="B26:L26" si="8">B18+B20+B25</f>
        <v>789000</v>
      </c>
      <c r="C26" s="21">
        <f t="shared" si="8"/>
        <v>978409</v>
      </c>
      <c r="D26" s="21">
        <f t="shared" si="8"/>
        <v>1401618</v>
      </c>
      <c r="E26" s="21">
        <f t="shared" si="8"/>
        <v>1738981</v>
      </c>
      <c r="F26" s="21">
        <f t="shared" si="8"/>
        <v>1793563</v>
      </c>
      <c r="G26" s="21">
        <f t="shared" si="8"/>
        <v>1926653</v>
      </c>
      <c r="H26" s="18">
        <f t="shared" si="8"/>
        <v>2399662.4555862052</v>
      </c>
      <c r="I26" s="18">
        <f t="shared" si="8"/>
        <v>2871193.0741402158</v>
      </c>
      <c r="J26" s="18">
        <f t="shared" si="8"/>
        <v>3422490.1916702716</v>
      </c>
      <c r="K26" s="18">
        <f t="shared" si="8"/>
        <v>4036569.1029079412</v>
      </c>
      <c r="L26" s="18">
        <f t="shared" si="8"/>
        <v>4643905.7133820811</v>
      </c>
    </row>
    <row r="27" spans="1:20">
      <c r="A27" s="1" t="s">
        <v>111</v>
      </c>
      <c r="B27" s="41">
        <f>'Source Data'!B20</f>
        <v>-145083</v>
      </c>
      <c r="C27" s="41">
        <f>'Source Data'!C20</f>
        <v>-173106</v>
      </c>
      <c r="D27" s="41">
        <f>'Source Data'!D20</f>
        <v>-269531</v>
      </c>
      <c r="E27" s="41">
        <f>'Source Data'!E20</f>
        <v>-333654</v>
      </c>
      <c r="F27" s="41">
        <f>'Source Data'!F20</f>
        <v>-287834</v>
      </c>
      <c r="G27" s="41">
        <f>'Source Data'!G20</f>
        <v>-367856</v>
      </c>
      <c r="H27" s="42">
        <f>-H26*Assumptions!B15</f>
        <v>-455935.86656137899</v>
      </c>
      <c r="I27" s="42">
        <f>-I26*Assumptions!B15</f>
        <v>-545526.68408664095</v>
      </c>
      <c r="J27" s="42">
        <f>-J26*Assumptions!B15</f>
        <v>-650273.13641735166</v>
      </c>
      <c r="K27" s="42">
        <f>-K26*Assumptions!B15</f>
        <v>-766948.12955250882</v>
      </c>
      <c r="L27" s="42">
        <f>-L26*Assumptions!B15</f>
        <v>-882342.08554259548</v>
      </c>
    </row>
    <row r="28" spans="1:20">
      <c r="A28" s="8" t="s">
        <v>112</v>
      </c>
      <c r="B28" s="21">
        <f t="shared" ref="B28:L28" si="9">B26+B27</f>
        <v>643917</v>
      </c>
      <c r="C28" s="21">
        <f t="shared" si="9"/>
        <v>805303</v>
      </c>
      <c r="D28" s="21">
        <f t="shared" si="9"/>
        <v>1132087</v>
      </c>
      <c r="E28" s="21">
        <f t="shared" si="9"/>
        <v>1405327</v>
      </c>
      <c r="F28" s="21">
        <f t="shared" si="9"/>
        <v>1505729</v>
      </c>
      <c r="G28" s="21">
        <f t="shared" si="9"/>
        <v>1558797</v>
      </c>
      <c r="H28" s="18">
        <f t="shared" si="9"/>
        <v>1943726.5890248262</v>
      </c>
      <c r="I28" s="18">
        <f t="shared" si="9"/>
        <v>2325666.3900535749</v>
      </c>
      <c r="J28" s="18">
        <f t="shared" si="9"/>
        <v>2772217.0552529199</v>
      </c>
      <c r="K28" s="18">
        <f t="shared" si="9"/>
        <v>3269620.9733554325</v>
      </c>
      <c r="L28" s="18">
        <f t="shared" si="9"/>
        <v>3761563.6278394856</v>
      </c>
      <c r="N28" s="30"/>
    </row>
    <row r="29" spans="1:20">
      <c r="A29" s="1" t="s">
        <v>210</v>
      </c>
      <c r="B29" s="40">
        <f t="shared" ref="B29:L29" si="10">B28/B6</f>
        <v>6.359162200771E-2</v>
      </c>
      <c r="C29" s="40">
        <f t="shared" si="10"/>
        <v>6.0268094355850003E-2</v>
      </c>
      <c r="D29" s="40">
        <f t="shared" si="10"/>
        <v>5.7171427673955194E-2</v>
      </c>
      <c r="E29" s="40">
        <f t="shared" si="10"/>
        <v>5.4753878195319107E-2</v>
      </c>
      <c r="F29" s="40">
        <f t="shared" si="10"/>
        <v>5.1436076337496694E-2</v>
      </c>
      <c r="G29" s="40">
        <f t="shared" si="10"/>
        <v>4.6345656669537258E-2</v>
      </c>
      <c r="H29" s="4">
        <f t="shared" si="10"/>
        <v>4.9425427659721147E-2</v>
      </c>
      <c r="I29" s="4">
        <f t="shared" si="10"/>
        <v>5.1101714204956183E-2</v>
      </c>
      <c r="J29" s="4">
        <f t="shared" si="10"/>
        <v>5.3344928477452452E-2</v>
      </c>
      <c r="K29" s="4">
        <f t="shared" si="10"/>
        <v>5.56875608102579E-2</v>
      </c>
      <c r="L29" s="4">
        <f t="shared" si="10"/>
        <v>5.7316380167105808E-2</v>
      </c>
    </row>
    <row r="30" spans="1:20" ht="18" customHeight="1">
      <c r="A30" s="90" t="s">
        <v>211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</row>
    <row r="31" spans="1:20">
      <c r="A31" s="1" t="s">
        <v>112</v>
      </c>
      <c r="B31" s="39">
        <f t="shared" ref="B31:L31" si="11">B28</f>
        <v>643917</v>
      </c>
      <c r="C31" s="39">
        <f t="shared" si="11"/>
        <v>805303</v>
      </c>
      <c r="D31" s="39">
        <f t="shared" si="11"/>
        <v>1132087</v>
      </c>
      <c r="E31" s="39">
        <f t="shared" si="11"/>
        <v>1405327</v>
      </c>
      <c r="F31" s="39">
        <f t="shared" si="11"/>
        <v>1505729</v>
      </c>
      <c r="G31" s="39">
        <f t="shared" si="11"/>
        <v>1558797</v>
      </c>
      <c r="H31" s="7">
        <f t="shared" si="11"/>
        <v>1943726.5890248262</v>
      </c>
      <c r="I31" s="7">
        <f t="shared" si="11"/>
        <v>2325666.3900535749</v>
      </c>
      <c r="J31" s="7">
        <f t="shared" si="11"/>
        <v>2772217.0552529199</v>
      </c>
      <c r="K31" s="7">
        <f t="shared" si="11"/>
        <v>3269620.9733554325</v>
      </c>
      <c r="L31" s="7">
        <f t="shared" si="11"/>
        <v>3761563.6278394856</v>
      </c>
    </row>
    <row r="32" spans="1:20">
      <c r="A32" s="1" t="s">
        <v>212</v>
      </c>
      <c r="B32" s="39">
        <f t="shared" ref="B32:L32" si="12">-B17</f>
        <v>198146</v>
      </c>
      <c r="C32" s="39">
        <f t="shared" si="12"/>
        <v>247343</v>
      </c>
      <c r="D32" s="39">
        <f t="shared" si="12"/>
        <v>300129</v>
      </c>
      <c r="E32" s="39">
        <f t="shared" si="12"/>
        <v>356828</v>
      </c>
      <c r="F32" s="39">
        <f t="shared" si="12"/>
        <v>409179</v>
      </c>
      <c r="G32" s="39">
        <f t="shared" si="12"/>
        <v>505031</v>
      </c>
      <c r="H32" s="7">
        <f t="shared" si="12"/>
        <v>589896.74375913909</v>
      </c>
      <c r="I32" s="7">
        <f t="shared" si="12"/>
        <v>682658.03591027565</v>
      </c>
      <c r="J32" s="7">
        <f t="shared" si="12"/>
        <v>779516.57290851907</v>
      </c>
      <c r="K32" s="7">
        <f t="shared" si="12"/>
        <v>880705.02436690137</v>
      </c>
      <c r="L32" s="7">
        <f t="shared" si="12"/>
        <v>984421.10707427445</v>
      </c>
    </row>
    <row r="33" spans="1:12">
      <c r="A33" s="1" t="s">
        <v>213</v>
      </c>
      <c r="B33" s="43">
        <f>B34-SUM(B31:B32)</f>
        <v>-22141</v>
      </c>
      <c r="C33" s="39">
        <f>SUM('Source Data'!C32:C35)-SUM('Source Data'!B32:B35)</f>
        <v>529904</v>
      </c>
      <c r="D33" s="39">
        <f>SUM('Source Data'!D32:D35)-SUM('Source Data'!C32:C35)</f>
        <v>757504</v>
      </c>
      <c r="E33" s="39">
        <f>SUM('Source Data'!E32:E35)-SUM('Source Data'!D32:D35)</f>
        <v>710654</v>
      </c>
      <c r="F33" s="39">
        <f>SUM('Source Data'!F32:F35)-SUM('Source Data'!E32:E35)</f>
        <v>512930</v>
      </c>
      <c r="G33" s="39">
        <f>SUM('Source Data'!G32:G35)-SUM('Source Data'!F32:F35)</f>
        <v>468881</v>
      </c>
      <c r="H33" s="42">
        <f>-(H90-G90)</f>
        <v>-915756.80576314405</v>
      </c>
      <c r="I33" s="7">
        <f>-(I90-H90)</f>
        <v>136942.81356696598</v>
      </c>
      <c r="J33" s="7">
        <f>-(J90-I90)</f>
        <v>144080.81367059471</v>
      </c>
      <c r="K33" s="7">
        <f>-(K90-J90)</f>
        <v>151025.7104301739</v>
      </c>
      <c r="L33" s="7">
        <f>-(L90-K90)</f>
        <v>168078.63976982981</v>
      </c>
    </row>
    <row r="34" spans="1:12">
      <c r="A34" s="8" t="s">
        <v>214</v>
      </c>
      <c r="B34" s="17">
        <f>'Source Data'!B76</f>
        <v>819922</v>
      </c>
      <c r="C34" s="17">
        <f>'Source Data'!C76</f>
        <v>1326331</v>
      </c>
      <c r="D34" s="17">
        <f>'Source Data'!D76</f>
        <v>1253422</v>
      </c>
      <c r="E34" s="17">
        <f>'Source Data'!E76</f>
        <v>1771540</v>
      </c>
      <c r="F34" s="17">
        <f>'Source Data'!F76</f>
        <v>2557453</v>
      </c>
      <c r="G34" s="17">
        <f>'Source Data'!G76</f>
        <v>2697445</v>
      </c>
      <c r="H34" s="18">
        <f t="shared" ref="H34:L34" si="13">SUM(H31:H33)</f>
        <v>1617866.5270208213</v>
      </c>
      <c r="I34" s="18">
        <f t="shared" si="13"/>
        <v>3145267.2395308167</v>
      </c>
      <c r="J34" s="18">
        <f t="shared" si="13"/>
        <v>3695814.4418320335</v>
      </c>
      <c r="K34" s="18">
        <f t="shared" si="13"/>
        <v>4301351.7081525074</v>
      </c>
      <c r="L34" s="18">
        <f t="shared" si="13"/>
        <v>4914063.3746835897</v>
      </c>
    </row>
    <row r="35" spans="1:12">
      <c r="A35" s="1" t="s">
        <v>215</v>
      </c>
      <c r="B35" s="41">
        <f>'Source Data'!B78</f>
        <v>-1002025</v>
      </c>
      <c r="C35" s="41">
        <f>'Source Data'!C78</f>
        <v>-1335604</v>
      </c>
      <c r="D35" s="41">
        <f>'Source Data'!D78</f>
        <v>-1445905</v>
      </c>
      <c r="E35" s="41">
        <f>'Source Data'!E78</f>
        <v>-1172863</v>
      </c>
      <c r="F35" s="41">
        <f>'Source Data'!F78</f>
        <v>-1561914</v>
      </c>
      <c r="G35" s="41">
        <f>'Source Data'!G78</f>
        <v>-2087043</v>
      </c>
      <c r="H35" s="42">
        <f>-H6*Assumptions!B35</f>
        <v>-2398913.4246204989</v>
      </c>
      <c r="I35" s="42">
        <f>-I6*Assumptions!C35</f>
        <v>-2412058.3935496407</v>
      </c>
      <c r="J35" s="42">
        <f>-J6*Assumptions!D35</f>
        <v>-2338549.718725557</v>
      </c>
      <c r="K35" s="42">
        <f>-K6*Assumptions!E35</f>
        <v>-2172405.72677169</v>
      </c>
      <c r="L35" s="42">
        <f>-L6*Assumptions!F35</f>
        <v>-1903214.1403435974</v>
      </c>
    </row>
    <row r="36" spans="1:12">
      <c r="A36" s="1" t="s">
        <v>95</v>
      </c>
      <c r="B36" s="39">
        <f>'Source Data'!B83-B35</f>
        <v>1889</v>
      </c>
      <c r="C36" s="39">
        <f>'Source Data'!C83-C35</f>
        <v>4876</v>
      </c>
      <c r="D36" s="39">
        <f>'Source Data'!D83-D35</f>
        <v>11342</v>
      </c>
      <c r="E36" s="39">
        <f>'Source Data'!E83-E35</f>
        <v>14607</v>
      </c>
      <c r="F36" s="39">
        <f>'Source Data'!F83-F35</f>
        <v>-34995</v>
      </c>
      <c r="G36" s="39">
        <f>'Source Data'!G83-G35</f>
        <v>11989</v>
      </c>
      <c r="H36" s="7">
        <f>Assumptions!B59</f>
        <v>0</v>
      </c>
      <c r="I36" s="7">
        <f>Assumptions!C59</f>
        <v>0</v>
      </c>
      <c r="J36" s="7">
        <f>Assumptions!D59</f>
        <v>0</v>
      </c>
      <c r="K36" s="7">
        <f>Assumptions!E59</f>
        <v>0</v>
      </c>
      <c r="L36" s="7">
        <f>Assumptions!F59</f>
        <v>0</v>
      </c>
    </row>
    <row r="37" spans="1:12">
      <c r="A37" s="8" t="s">
        <v>216</v>
      </c>
      <c r="B37" s="46">
        <f t="shared" ref="B37:L37" si="14">SUM(B35:B36)</f>
        <v>-1000136</v>
      </c>
      <c r="C37" s="46">
        <f t="shared" si="14"/>
        <v>-1330728</v>
      </c>
      <c r="D37" s="46">
        <f t="shared" si="14"/>
        <v>-1434563</v>
      </c>
      <c r="E37" s="46">
        <f t="shared" si="14"/>
        <v>-1158256</v>
      </c>
      <c r="F37" s="46">
        <f t="shared" si="14"/>
        <v>-1596909</v>
      </c>
      <c r="G37" s="46">
        <f t="shared" si="14"/>
        <v>-2075054</v>
      </c>
      <c r="H37" s="45">
        <f t="shared" si="14"/>
        <v>-2398913.4246204989</v>
      </c>
      <c r="I37" s="45">
        <f t="shared" si="14"/>
        <v>-2412058.3935496407</v>
      </c>
      <c r="J37" s="45">
        <f t="shared" si="14"/>
        <v>-2338549.718725557</v>
      </c>
      <c r="K37" s="45">
        <f t="shared" si="14"/>
        <v>-2172405.72677169</v>
      </c>
      <c r="L37" s="45">
        <f t="shared" si="14"/>
        <v>-1903214.1403435974</v>
      </c>
    </row>
    <row r="38" spans="1:12">
      <c r="A38" s="1" t="s">
        <v>217</v>
      </c>
      <c r="B38" s="39">
        <f>SUM('Source Data'!B84:B89)</f>
        <v>265912</v>
      </c>
      <c r="C38" s="43">
        <f>SUM('Source Data'!C84:C89)</f>
        <v>-57406</v>
      </c>
      <c r="D38" s="39">
        <f>SUM('Source Data'!D84:D89)</f>
        <v>145244</v>
      </c>
      <c r="E38" s="43">
        <f>SUM('Source Data'!E84:E89)</f>
        <v>-777613</v>
      </c>
      <c r="F38" s="43">
        <f>SUM('Source Data'!F84:F89)</f>
        <v>-287911</v>
      </c>
      <c r="G38" s="43">
        <f>SUM('Source Data'!G84:G89)</f>
        <v>-558599</v>
      </c>
      <c r="H38" s="42">
        <f>Assumptions!B47+Assumptions!B49+Assumptions!B51</f>
        <v>-150263.70000000001</v>
      </c>
      <c r="I38" s="7">
        <f>Assumptions!C47+Assumptions!C49+Assumptions!C51</f>
        <v>22412.567000000006</v>
      </c>
      <c r="J38" s="7">
        <f>Assumptions!D47+Assumptions!D49+Assumptions!D51</f>
        <v>25005.572360000006</v>
      </c>
      <c r="K38" s="7">
        <f>Assumptions!E47+Assumptions!E49+Assumptions!E51</f>
        <v>27455.962425200007</v>
      </c>
      <c r="L38" s="7">
        <f>Assumptions!F47+Assumptions!F49+Assumptions!F51</f>
        <v>29703.32017071201</v>
      </c>
    </row>
    <row r="39" spans="1:12">
      <c r="A39" s="1" t="s">
        <v>94</v>
      </c>
      <c r="B39" s="6">
        <f>0</f>
        <v>0</v>
      </c>
      <c r="C39" s="6">
        <f>0</f>
        <v>0</v>
      </c>
      <c r="D39" s="6">
        <f>0</f>
        <v>0</v>
      </c>
      <c r="E39" s="6">
        <f>0</f>
        <v>0</v>
      </c>
      <c r="F39" s="6">
        <f>0</f>
        <v>0</v>
      </c>
      <c r="G39" s="6">
        <f>0</f>
        <v>0</v>
      </c>
      <c r="H39" s="6">
        <f>Assumptions!B58</f>
        <v>0</v>
      </c>
      <c r="I39" s="6">
        <f>Assumptions!C58</f>
        <v>0</v>
      </c>
      <c r="J39" s="6">
        <f>Assumptions!D58</f>
        <v>0</v>
      </c>
      <c r="K39" s="6">
        <f>Assumptions!E58</f>
        <v>0</v>
      </c>
      <c r="L39" s="6">
        <f>Assumptions!F58</f>
        <v>0</v>
      </c>
    </row>
    <row r="40" spans="1:12">
      <c r="A40" s="1" t="s">
        <v>93</v>
      </c>
      <c r="B40" s="6">
        <f>'Source Data'!B90-B38-B39</f>
        <v>0</v>
      </c>
      <c r="C40" s="6">
        <f>'Source Data'!C90-C38-C39</f>
        <v>0</v>
      </c>
      <c r="D40" s="6">
        <f>'Source Data'!D90-D38-D39</f>
        <v>0</v>
      </c>
      <c r="E40" s="6">
        <f>'Source Data'!E90-E38-E39</f>
        <v>0</v>
      </c>
      <c r="F40" s="6">
        <f>'Source Data'!F90-F38-F39</f>
        <v>0</v>
      </c>
      <c r="G40" s="6">
        <f>'Source Data'!G90-G38-G39</f>
        <v>0</v>
      </c>
      <c r="H40" s="7">
        <f>Assumptions!B57</f>
        <v>0</v>
      </c>
      <c r="I40" s="7">
        <f>Assumptions!C57</f>
        <v>0</v>
      </c>
      <c r="J40" s="7">
        <f>Assumptions!D57</f>
        <v>0</v>
      </c>
      <c r="K40" s="7">
        <f>Assumptions!E57</f>
        <v>0</v>
      </c>
      <c r="L40" s="7">
        <f>Assumptions!F57</f>
        <v>0</v>
      </c>
    </row>
    <row r="41" spans="1:12">
      <c r="A41" s="8" t="s">
        <v>218</v>
      </c>
      <c r="B41" s="21">
        <f t="shared" ref="B41:L41" si="15">SUM(B38:B40)</f>
        <v>265912</v>
      </c>
      <c r="C41" s="46">
        <f t="shared" si="15"/>
        <v>-57406</v>
      </c>
      <c r="D41" s="21">
        <f t="shared" si="15"/>
        <v>145244</v>
      </c>
      <c r="E41" s="46">
        <f t="shared" si="15"/>
        <v>-777613</v>
      </c>
      <c r="F41" s="46">
        <f t="shared" si="15"/>
        <v>-287911</v>
      </c>
      <c r="G41" s="46">
        <f t="shared" si="15"/>
        <v>-558599</v>
      </c>
      <c r="H41" s="45">
        <f>SUM(H38:H40)</f>
        <v>-150263.70000000001</v>
      </c>
      <c r="I41" s="18">
        <f t="shared" si="15"/>
        <v>22412.567000000006</v>
      </c>
      <c r="J41" s="18">
        <f t="shared" si="15"/>
        <v>25005.572360000006</v>
      </c>
      <c r="K41" s="18">
        <f t="shared" si="15"/>
        <v>27455.962425200007</v>
      </c>
      <c r="L41" s="18">
        <f t="shared" si="15"/>
        <v>29703.32017071201</v>
      </c>
    </row>
    <row r="42" spans="1:12">
      <c r="A42" s="8" t="s">
        <v>219</v>
      </c>
      <c r="B42" s="21">
        <f t="shared" ref="B42:L42" si="16">SUM(B34,B37,B41)</f>
        <v>85698</v>
      </c>
      <c r="C42" s="46">
        <f t="shared" si="16"/>
        <v>-61803</v>
      </c>
      <c r="D42" s="46">
        <f t="shared" si="16"/>
        <v>-35897</v>
      </c>
      <c r="E42" s="46">
        <f t="shared" si="16"/>
        <v>-164329</v>
      </c>
      <c r="F42" s="21">
        <f t="shared" si="16"/>
        <v>672633</v>
      </c>
      <c r="G42" s="21">
        <f t="shared" si="16"/>
        <v>63792</v>
      </c>
      <c r="H42" s="45">
        <f t="shared" si="16"/>
        <v>-931310.59759967751</v>
      </c>
      <c r="I42" s="18">
        <f t="shared" si="16"/>
        <v>755621.41298117605</v>
      </c>
      <c r="J42" s="18">
        <f t="shared" si="16"/>
        <v>1382270.2954664766</v>
      </c>
      <c r="K42" s="18">
        <f t="shared" si="16"/>
        <v>2156401.9438060173</v>
      </c>
      <c r="L42" s="18">
        <f t="shared" si="16"/>
        <v>3040552.5545107047</v>
      </c>
    </row>
    <row r="43" spans="1:12">
      <c r="A43" s="1" t="s">
        <v>180</v>
      </c>
      <c r="B43" s="6">
        <f>'Source Data'!B92</f>
        <v>394720</v>
      </c>
      <c r="C43" s="6">
        <f>'Source Data'!C92</f>
        <v>480418</v>
      </c>
      <c r="D43" s="6">
        <f>'Source Data'!D92</f>
        <v>418615</v>
      </c>
      <c r="E43" s="6">
        <f>'Source Data'!E92</f>
        <v>382718</v>
      </c>
      <c r="F43" s="6">
        <f>'Source Data'!F92</f>
        <v>218389</v>
      </c>
      <c r="G43" s="6">
        <f>'Source Data'!G92</f>
        <v>891022</v>
      </c>
      <c r="H43" s="7">
        <f>G44</f>
        <v>954814</v>
      </c>
      <c r="I43" s="7">
        <f>H44</f>
        <v>23503.402400322491</v>
      </c>
      <c r="J43" s="7">
        <f>I44</f>
        <v>779124.81538149854</v>
      </c>
      <c r="K43" s="7">
        <f>J44</f>
        <v>2161395.1108479751</v>
      </c>
      <c r="L43" s="7">
        <f>K44</f>
        <v>4317797.0546539929</v>
      </c>
    </row>
    <row r="44" spans="1:12">
      <c r="A44" s="8" t="s">
        <v>181</v>
      </c>
      <c r="B44" s="17">
        <f>'Source Data'!B93</f>
        <v>480418</v>
      </c>
      <c r="C44" s="17">
        <f>'Source Data'!C93</f>
        <v>418615</v>
      </c>
      <c r="D44" s="17">
        <f>'Source Data'!D93</f>
        <v>382718</v>
      </c>
      <c r="E44" s="17">
        <f>'Source Data'!E93</f>
        <v>218389</v>
      </c>
      <c r="F44" s="17">
        <f>'Source Data'!F93</f>
        <v>891022</v>
      </c>
      <c r="G44" s="17">
        <f>'Source Data'!G93</f>
        <v>954814</v>
      </c>
      <c r="H44" s="18">
        <f>H43+H42</f>
        <v>23503.402400322491</v>
      </c>
      <c r="I44" s="18">
        <f>I43+I42</f>
        <v>779124.81538149854</v>
      </c>
      <c r="J44" s="18">
        <f>J43+J42</f>
        <v>2161395.1108479751</v>
      </c>
      <c r="K44" s="18">
        <f>K43+K42</f>
        <v>4317797.0546539929</v>
      </c>
      <c r="L44" s="18">
        <f>L43+L42</f>
        <v>7358349.609164698</v>
      </c>
    </row>
    <row r="45" spans="1:12" ht="18" customHeight="1">
      <c r="A45" s="90" t="s">
        <v>220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</row>
    <row r="46" spans="1:12">
      <c r="A46" s="1" t="s">
        <v>221</v>
      </c>
      <c r="B46" s="39">
        <f>'Source Data'!B26+'Source Data'!B27</f>
        <v>3934018</v>
      </c>
      <c r="C46" s="39">
        <f>'Source Data'!C26+'Source Data'!C27</f>
        <v>5051284</v>
      </c>
      <c r="D46" s="39">
        <f>'Source Data'!D26+'Source Data'!D27</f>
        <v>6175148</v>
      </c>
      <c r="E46" s="39">
        <f>'Source Data'!E26+'Source Data'!E27</f>
        <v>6968171</v>
      </c>
      <c r="F46" s="39">
        <f>'Source Data'!F26+'Source Data'!F27</f>
        <v>8372265</v>
      </c>
      <c r="G46" s="39">
        <f>'Source Data'!G26+'Source Data'!G27</f>
        <v>9991687</v>
      </c>
      <c r="H46" s="7">
        <f>G46-(H35*Assumptions!B41)-(H32*Assumptions!B43)</f>
        <v>11710252.846818293</v>
      </c>
      <c r="I46" s="7">
        <f>H46-(I35*Assumptions!C41)-(I32*Assumptions!C43)</f>
        <v>13353183.186575688</v>
      </c>
      <c r="J46" s="7">
        <f>I46-(J35*Assumptions!D41)-(J32*Assumptions!D43)</f>
        <v>14834264.675101873</v>
      </c>
      <c r="K46" s="7">
        <f>J46-(K35*Assumptions!E41)-(K32*Assumptions!E43)</f>
        <v>16061380.342386421</v>
      </c>
      <c r="L46" s="7">
        <f>K46-(L35*Assumptions!F41)-(L32*Assumptions!F43)</f>
        <v>16934233.723992277</v>
      </c>
    </row>
    <row r="47" spans="1:12">
      <c r="A47" s="1" t="s">
        <v>118</v>
      </c>
      <c r="B47" s="6">
        <f>'Source Data'!B28</f>
        <v>99050</v>
      </c>
      <c r="C47" s="6">
        <f>'Source Data'!C28</f>
        <v>96947</v>
      </c>
      <c r="D47" s="6">
        <f>'Source Data'!D28</f>
        <v>94737</v>
      </c>
      <c r="E47" s="6">
        <f>'Source Data'!E28</f>
        <v>115056</v>
      </c>
      <c r="F47" s="6">
        <f>'Source Data'!F28</f>
        <v>169964</v>
      </c>
      <c r="G47" s="6">
        <f>'Source Data'!G28</f>
        <v>176185</v>
      </c>
      <c r="H47" s="7">
        <f>G47-(H35*Assumptions!B42)-(H32*Assumptions!B44)</f>
        <v>266635.834043068</v>
      </c>
      <c r="I47" s="7">
        <f>H47-(I35*Assumptions!C42)-(I32*Assumptions!C44)</f>
        <v>353105.85192503629</v>
      </c>
      <c r="J47" s="7">
        <f>I47-(J35*Assumptions!D42)-(J32*Assumptions!D44)</f>
        <v>431057.50921588816</v>
      </c>
      <c r="K47" s="7">
        <f>J47-(K35*Assumptions!E42)-(K32*Assumptions!E44)</f>
        <v>495642.54433612752</v>
      </c>
      <c r="L47" s="7">
        <f>K47-(L35*Assumptions!F42)-(L32*Assumptions!F44)</f>
        <v>541582.19599959371</v>
      </c>
    </row>
    <row r="48" spans="1:12">
      <c r="A48" s="1" t="s">
        <v>222</v>
      </c>
      <c r="B48" s="6">
        <f>'Source Data'!B29</f>
        <v>6</v>
      </c>
      <c r="C48" s="6">
        <f>'Source Data'!C29</f>
        <v>0</v>
      </c>
      <c r="D48" s="6">
        <f>'Source Data'!D29</f>
        <v>0</v>
      </c>
      <c r="E48" s="6">
        <f>'Source Data'!E29</f>
        <v>0</v>
      </c>
      <c r="F48" s="6">
        <f>'Source Data'!F29</f>
        <v>0</v>
      </c>
      <c r="G48" s="6">
        <f>'Source Data'!G29</f>
        <v>0</v>
      </c>
      <c r="H48" s="7">
        <f t="shared" ref="H48:L49" si="17">G48</f>
        <v>0</v>
      </c>
      <c r="I48" s="7">
        <f t="shared" si="17"/>
        <v>0</v>
      </c>
      <c r="J48" s="7">
        <f t="shared" si="17"/>
        <v>0</v>
      </c>
      <c r="K48" s="7">
        <f t="shared" si="17"/>
        <v>0</v>
      </c>
      <c r="L48" s="7">
        <f t="shared" si="17"/>
        <v>0</v>
      </c>
    </row>
    <row r="49" spans="1:19">
      <c r="A49" s="1" t="s">
        <v>120</v>
      </c>
      <c r="B49" s="6">
        <f>'Source Data'!B30</f>
        <v>20738</v>
      </c>
      <c r="C49" s="6">
        <f>'Source Data'!C30</f>
        <v>35116</v>
      </c>
      <c r="D49" s="6">
        <f>'Source Data'!D30</f>
        <v>26468</v>
      </c>
      <c r="E49" s="6">
        <f>'Source Data'!E30</f>
        <v>41323</v>
      </c>
      <c r="F49" s="6">
        <f>'Source Data'!F30</f>
        <v>74149</v>
      </c>
      <c r="G49" s="6">
        <f>'Source Data'!G30</f>
        <v>31376</v>
      </c>
      <c r="H49" s="7">
        <f t="shared" si="17"/>
        <v>31376</v>
      </c>
      <c r="I49" s="7">
        <f t="shared" si="17"/>
        <v>31376</v>
      </c>
      <c r="J49" s="7">
        <f t="shared" si="17"/>
        <v>31376</v>
      </c>
      <c r="K49" s="7">
        <f t="shared" si="17"/>
        <v>31376</v>
      </c>
      <c r="L49" s="7">
        <f t="shared" si="17"/>
        <v>31376</v>
      </c>
    </row>
    <row r="50" spans="1:19">
      <c r="A50" s="8" t="s">
        <v>121</v>
      </c>
      <c r="B50" s="21">
        <f t="shared" ref="B50:L50" si="18">SUM(B46:B49)</f>
        <v>4053812</v>
      </c>
      <c r="C50" s="21">
        <f t="shared" si="18"/>
        <v>5183347</v>
      </c>
      <c r="D50" s="21">
        <f t="shared" si="18"/>
        <v>6296353</v>
      </c>
      <c r="E50" s="21">
        <f t="shared" si="18"/>
        <v>7124550</v>
      </c>
      <c r="F50" s="21">
        <f t="shared" si="18"/>
        <v>8616378</v>
      </c>
      <c r="G50" s="21">
        <f t="shared" si="18"/>
        <v>10199248</v>
      </c>
      <c r="H50" s="18">
        <f t="shared" si="18"/>
        <v>12008264.680861361</v>
      </c>
      <c r="I50" s="18">
        <f t="shared" si="18"/>
        <v>13737665.038500724</v>
      </c>
      <c r="J50" s="18">
        <f t="shared" si="18"/>
        <v>15296698.18431776</v>
      </c>
      <c r="K50" s="18">
        <f t="shared" si="18"/>
        <v>16588398.886722548</v>
      </c>
      <c r="L50" s="18">
        <f t="shared" si="18"/>
        <v>17507191.919991869</v>
      </c>
      <c r="N50" s="33"/>
      <c r="O50" s="33"/>
      <c r="P50" s="33"/>
      <c r="Q50" s="33"/>
      <c r="R50" s="33"/>
      <c r="S50" s="33"/>
    </row>
    <row r="51" spans="1:19">
      <c r="A51" s="1" t="s">
        <v>122</v>
      </c>
      <c r="B51" s="6">
        <f>'Source Data'!B32</f>
        <v>875147</v>
      </c>
      <c r="C51" s="6">
        <f>'Source Data'!C32</f>
        <v>1373463</v>
      </c>
      <c r="D51" s="6">
        <f>'Source Data'!D32</f>
        <v>1978778</v>
      </c>
      <c r="E51" s="6">
        <f>'Source Data'!E32</f>
        <v>2638859</v>
      </c>
      <c r="F51" s="6">
        <f>'Source Data'!F32</f>
        <v>3081444</v>
      </c>
      <c r="G51" s="6">
        <f>'Source Data'!G32</f>
        <v>3548100</v>
      </c>
      <c r="H51" s="7">
        <f>H6*Assumptions!$B$36/Assumptions!$B$11</f>
        <v>5387184.8745126864</v>
      </c>
      <c r="I51" s="7">
        <f>I6*Assumptions!$B$36/Assumptions!$B$11</f>
        <v>6234319.9626509193</v>
      </c>
      <c r="J51" s="7">
        <f>J6*Assumptions!$B$36/Assumptions!$B$11</f>
        <v>7118872.8119499451</v>
      </c>
      <c r="K51" s="7">
        <f>K6*Assumptions!$B$36/Assumptions!$B$11</f>
        <v>8042968.2590584597</v>
      </c>
      <c r="L51" s="7">
        <f>L6*Assumptions!$B$36/Assumptions!$B$11</f>
        <v>8990147.0965687167</v>
      </c>
    </row>
    <row r="52" spans="1:19">
      <c r="A52" s="1" t="s">
        <v>123</v>
      </c>
      <c r="B52" s="6">
        <f>'Source Data'!B33</f>
        <v>86822</v>
      </c>
      <c r="C52" s="6">
        <f>'Source Data'!C33</f>
        <v>144012</v>
      </c>
      <c r="D52" s="6">
        <f>'Source Data'!D33</f>
        <v>274872</v>
      </c>
      <c r="E52" s="6">
        <f>'Source Data'!E33</f>
        <v>330389</v>
      </c>
      <c r="F52" s="6">
        <f>'Source Data'!F33</f>
        <v>376480</v>
      </c>
      <c r="G52" s="6">
        <f>'Source Data'!G33</f>
        <v>372038</v>
      </c>
      <c r="H52" s="7">
        <f>H6/Assumptions!B11*Assumptions!B37</f>
        <v>430974.78996101487</v>
      </c>
      <c r="I52" s="7">
        <f>I6/Assumptions!B11*Assumptions!C37</f>
        <v>498745.59701207356</v>
      </c>
      <c r="J52" s="7">
        <f>J6/Assumptions!B11*Assumptions!D37</f>
        <v>569509.82495599566</v>
      </c>
      <c r="K52" s="7">
        <f>K6/Assumptions!B11*Assumptions!E37</f>
        <v>643437.46072467684</v>
      </c>
      <c r="L52" s="7">
        <f>L6/Assumptions!B11*Assumptions!F37</f>
        <v>719211.76772549737</v>
      </c>
    </row>
    <row r="53" spans="1:19">
      <c r="A53" s="1" t="s">
        <v>124</v>
      </c>
      <c r="B53" s="6">
        <f>'Source Data'!B34</f>
        <v>2</v>
      </c>
      <c r="C53" s="6">
        <f>'Source Data'!C34</f>
        <v>55</v>
      </c>
      <c r="D53" s="6">
        <f>'Source Data'!D34</f>
        <v>0</v>
      </c>
      <c r="E53" s="6">
        <f>'Source Data'!E34</f>
        <v>103</v>
      </c>
      <c r="F53" s="6">
        <f>'Source Data'!F34</f>
        <v>220</v>
      </c>
      <c r="G53" s="6">
        <f>'Source Data'!G34</f>
        <v>18596</v>
      </c>
      <c r="H53" s="7">
        <f>G53*(1+Assumptions!B29)</f>
        <v>19246.859999999997</v>
      </c>
      <c r="I53" s="7">
        <f>H53*(1+Assumptions!C29)</f>
        <v>19862.759519999996</v>
      </c>
      <c r="J53" s="7">
        <f>I53*(1+Assumptions!D29)</f>
        <v>20438.779546079993</v>
      </c>
      <c r="K53" s="7">
        <f>J53*(1+Assumptions!E29)</f>
        <v>20970.187814278073</v>
      </c>
      <c r="L53" s="7">
        <f>K53*(1+Assumptions!F29)</f>
        <v>21452.502134006467</v>
      </c>
    </row>
    <row r="54" spans="1:19">
      <c r="A54" s="1" t="s">
        <v>223</v>
      </c>
      <c r="B54" s="6">
        <f>'Source Data'!B35</f>
        <v>73367</v>
      </c>
      <c r="C54" s="6">
        <f>'Source Data'!C35</f>
        <v>47712</v>
      </c>
      <c r="D54" s="6">
        <f>'Source Data'!D35</f>
        <v>69096</v>
      </c>
      <c r="E54" s="6">
        <f>'Source Data'!E35</f>
        <v>64049</v>
      </c>
      <c r="F54" s="6">
        <f>'Source Data'!F35</f>
        <v>88186</v>
      </c>
      <c r="G54" s="6">
        <f>'Source Data'!G35</f>
        <v>76477</v>
      </c>
      <c r="H54" s="7">
        <f>G54*(1+Assumptions!B29)</f>
        <v>79153.694999999992</v>
      </c>
      <c r="I54" s="7">
        <f>H54*(1+Assumptions!C29)</f>
        <v>81686.613239999991</v>
      </c>
      <c r="J54" s="7">
        <f>I54*(1+Assumptions!D29)</f>
        <v>84055.525023959985</v>
      </c>
      <c r="K54" s="7">
        <f>J54*(1+Assumptions!E29)</f>
        <v>86240.968674582953</v>
      </c>
      <c r="L54" s="7">
        <f>K54*(1+Assumptions!F29)</f>
        <v>88224.510954098354</v>
      </c>
      <c r="N54" s="24"/>
    </row>
    <row r="55" spans="1:19">
      <c r="A55" s="1" t="s">
        <v>126</v>
      </c>
      <c r="B55" s="6">
        <f>'Source Data'!B36</f>
        <v>942</v>
      </c>
      <c r="C55" s="6">
        <f>'Source Data'!C36</f>
        <v>1327</v>
      </c>
      <c r="D55" s="6">
        <f>'Source Data'!D36</f>
        <v>1242</v>
      </c>
      <c r="E55" s="6">
        <f>'Source Data'!E36</f>
        <v>1376</v>
      </c>
      <c r="F55" s="6">
        <f>'Source Data'!F36</f>
        <v>2064</v>
      </c>
      <c r="G55" s="6">
        <f>'Source Data'!G36</f>
        <v>2007</v>
      </c>
      <c r="H55" s="7">
        <f>G55*(1+Assumptions!B29)</f>
        <v>2077.2449999999999</v>
      </c>
      <c r="I55" s="7">
        <f>H55*(1+Assumptions!C29)</f>
        <v>2143.71684</v>
      </c>
      <c r="J55" s="7">
        <f>I55*(1+Assumptions!D29)</f>
        <v>2205.8846283600001</v>
      </c>
      <c r="K55" s="7">
        <f>J55*(1+Assumptions!E29)</f>
        <v>2263.2376286973599</v>
      </c>
      <c r="L55" s="7">
        <f>K55*(1+Assumptions!F29)</f>
        <v>2315.2920941573989</v>
      </c>
    </row>
    <row r="56" spans="1:19">
      <c r="A56" s="1" t="s">
        <v>127</v>
      </c>
      <c r="B56" s="39">
        <f t="shared" ref="B56:L56" si="19">B44</f>
        <v>480418</v>
      </c>
      <c r="C56" s="39">
        <f t="shared" si="19"/>
        <v>418615</v>
      </c>
      <c r="D56" s="39">
        <f t="shared" si="19"/>
        <v>382718</v>
      </c>
      <c r="E56" s="39">
        <f t="shared" si="19"/>
        <v>218389</v>
      </c>
      <c r="F56" s="39">
        <f t="shared" si="19"/>
        <v>891022</v>
      </c>
      <c r="G56" s="39">
        <f t="shared" si="19"/>
        <v>954814</v>
      </c>
      <c r="H56" s="7">
        <f t="shared" si="19"/>
        <v>23503.402400322491</v>
      </c>
      <c r="I56" s="7">
        <f t="shared" si="19"/>
        <v>779124.81538149854</v>
      </c>
      <c r="J56" s="7">
        <f t="shared" si="19"/>
        <v>2161395.1108479751</v>
      </c>
      <c r="K56" s="7">
        <f t="shared" si="19"/>
        <v>4317797.0546539929</v>
      </c>
      <c r="L56" s="7">
        <f t="shared" si="19"/>
        <v>7358349.609164698</v>
      </c>
    </row>
    <row r="57" spans="1:19">
      <c r="A57" s="8" t="s">
        <v>128</v>
      </c>
      <c r="B57" s="21">
        <f t="shared" ref="B57:L57" si="20">SUM(B51:B56)</f>
        <v>1516698</v>
      </c>
      <c r="C57" s="21">
        <f t="shared" si="20"/>
        <v>1985184</v>
      </c>
      <c r="D57" s="21">
        <f t="shared" si="20"/>
        <v>2706706</v>
      </c>
      <c r="E57" s="21">
        <f t="shared" si="20"/>
        <v>3253165</v>
      </c>
      <c r="F57" s="21">
        <f t="shared" si="20"/>
        <v>4439416</v>
      </c>
      <c r="G57" s="21">
        <f t="shared" si="20"/>
        <v>4972032</v>
      </c>
      <c r="H57" s="18">
        <f t="shared" si="20"/>
        <v>5942140.8668740243</v>
      </c>
      <c r="I57" s="18">
        <f t="shared" si="20"/>
        <v>7615883.4646444917</v>
      </c>
      <c r="J57" s="18">
        <f t="shared" si="20"/>
        <v>9956477.9369523153</v>
      </c>
      <c r="K57" s="18">
        <f t="shared" si="20"/>
        <v>13113677.168554688</v>
      </c>
      <c r="L57" s="18">
        <f t="shared" si="20"/>
        <v>17179700.778641175</v>
      </c>
    </row>
    <row r="58" spans="1:19">
      <c r="A58" s="8" t="s">
        <v>224</v>
      </c>
      <c r="B58" s="21">
        <f t="shared" ref="B58:L58" si="21">SUM(B50,B57)</f>
        <v>5570510</v>
      </c>
      <c r="C58" s="21">
        <f t="shared" si="21"/>
        <v>7168531</v>
      </c>
      <c r="D58" s="21">
        <f t="shared" si="21"/>
        <v>9003059</v>
      </c>
      <c r="E58" s="21">
        <f t="shared" si="21"/>
        <v>10377715</v>
      </c>
      <c r="F58" s="21">
        <f t="shared" si="21"/>
        <v>13055794</v>
      </c>
      <c r="G58" s="21">
        <f t="shared" si="21"/>
        <v>15171280</v>
      </c>
      <c r="H58" s="18">
        <f t="shared" si="21"/>
        <v>17950405.547735386</v>
      </c>
      <c r="I58" s="18">
        <f t="shared" si="21"/>
        <v>21353548.503145218</v>
      </c>
      <c r="J58" s="18">
        <f t="shared" si="21"/>
        <v>25253176.121270075</v>
      </c>
      <c r="K58" s="18">
        <f t="shared" si="21"/>
        <v>29702076.055277236</v>
      </c>
      <c r="L58" s="18">
        <f t="shared" si="21"/>
        <v>34686892.698633045</v>
      </c>
    </row>
    <row r="59" spans="1:19" ht="18" customHeight="1">
      <c r="A59" s="90" t="s">
        <v>225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</row>
    <row r="60" spans="1:19">
      <c r="A60" s="1" t="s">
        <v>131</v>
      </c>
      <c r="B60" s="6">
        <f>'Source Data'!B41</f>
        <v>9804</v>
      </c>
      <c r="C60" s="6">
        <f>'Source Data'!C41</f>
        <v>9804</v>
      </c>
      <c r="D60" s="6">
        <f>'Source Data'!D41</f>
        <v>9804</v>
      </c>
      <c r="E60" s="6">
        <f>'Source Data'!E41</f>
        <v>9804</v>
      </c>
      <c r="F60" s="6">
        <f>'Source Data'!F41</f>
        <v>9804</v>
      </c>
      <c r="G60" s="6">
        <f>'Source Data'!G41</f>
        <v>9804</v>
      </c>
      <c r="H60" s="7">
        <f t="shared" ref="H60:L61" si="22">G60</f>
        <v>9804</v>
      </c>
      <c r="I60" s="7">
        <f t="shared" si="22"/>
        <v>9804</v>
      </c>
      <c r="J60" s="7">
        <f t="shared" si="22"/>
        <v>9804</v>
      </c>
      <c r="K60" s="7">
        <f t="shared" si="22"/>
        <v>9804</v>
      </c>
      <c r="L60" s="7">
        <f t="shared" si="22"/>
        <v>9804</v>
      </c>
    </row>
    <row r="61" spans="1:19">
      <c r="A61" s="1" t="s">
        <v>132</v>
      </c>
      <c r="B61" s="6">
        <f>'Source Data'!B42</f>
        <v>2063322</v>
      </c>
      <c r="C61" s="6">
        <f>'Source Data'!C42</f>
        <v>2707720</v>
      </c>
      <c r="D61" s="6">
        <f>'Source Data'!D42</f>
        <v>3512022</v>
      </c>
      <c r="E61" s="6">
        <f>'Source Data'!E42</f>
        <v>4652148</v>
      </c>
      <c r="F61" s="6">
        <f>'Source Data'!F42</f>
        <v>6058912</v>
      </c>
      <c r="G61" s="6">
        <f>'Source Data'!G42</f>
        <v>7569927</v>
      </c>
      <c r="H61" s="7">
        <f t="shared" si="22"/>
        <v>7569927</v>
      </c>
      <c r="I61" s="7">
        <f t="shared" si="22"/>
        <v>7569927</v>
      </c>
      <c r="J61" s="7">
        <f t="shared" si="22"/>
        <v>7569927</v>
      </c>
      <c r="K61" s="7">
        <f t="shared" si="22"/>
        <v>7569927</v>
      </c>
      <c r="L61" s="7">
        <f t="shared" si="22"/>
        <v>7569927</v>
      </c>
    </row>
    <row r="62" spans="1:19">
      <c r="A62" s="1" t="s">
        <v>133</v>
      </c>
      <c r="B62" s="6">
        <f>'Source Data'!B43</f>
        <v>185937</v>
      </c>
      <c r="C62" s="6">
        <f>'Source Data'!C43</f>
        <v>345166</v>
      </c>
      <c r="D62" s="6">
        <f>'Source Data'!D43</f>
        <v>674457</v>
      </c>
      <c r="E62" s="6">
        <f>'Source Data'!E43</f>
        <v>935859</v>
      </c>
      <c r="F62" s="6">
        <f>'Source Data'!F43</f>
        <v>1031871</v>
      </c>
      <c r="G62" s="6">
        <f>'Source Data'!G43</f>
        <v>1077742</v>
      </c>
      <c r="H62" s="7">
        <f>G62+H28+H39</f>
        <v>3021468.589024826</v>
      </c>
      <c r="I62" s="7">
        <f>H62+I28+I39</f>
        <v>5347134.9790784009</v>
      </c>
      <c r="J62" s="7">
        <f>I62+J28+J39</f>
        <v>8119352.0343313208</v>
      </c>
      <c r="K62" s="7">
        <f>J62+K28+K39</f>
        <v>11388973.007686753</v>
      </c>
      <c r="L62" s="7">
        <f>K62+L28+L39</f>
        <v>15150536.635526238</v>
      </c>
    </row>
    <row r="63" spans="1:19">
      <c r="A63" s="1" t="s">
        <v>134</v>
      </c>
      <c r="B63" s="6">
        <f>'Source Data'!B44</f>
        <v>7500</v>
      </c>
      <c r="C63" s="6">
        <f>'Source Data'!C44</f>
        <v>7500</v>
      </c>
      <c r="D63" s="6">
        <f>'Source Data'!D44</f>
        <v>7500</v>
      </c>
      <c r="E63" s="6">
        <f>'Source Data'!E44</f>
        <v>7500</v>
      </c>
      <c r="F63" s="41">
        <f>'Source Data'!F44</f>
        <v>-15436</v>
      </c>
      <c r="G63" s="41">
        <f>'Source Data'!G44</f>
        <v>-4080</v>
      </c>
      <c r="H63" s="42">
        <f t="shared" ref="H63:L64" si="23">G63</f>
        <v>-4080</v>
      </c>
      <c r="I63" s="42">
        <f t="shared" si="23"/>
        <v>-4080</v>
      </c>
      <c r="J63" s="42">
        <f t="shared" si="23"/>
        <v>-4080</v>
      </c>
      <c r="K63" s="42">
        <f t="shared" si="23"/>
        <v>-4080</v>
      </c>
      <c r="L63" s="42">
        <f t="shared" si="23"/>
        <v>-4080</v>
      </c>
    </row>
    <row r="64" spans="1:19">
      <c r="A64" s="1" t="s">
        <v>135</v>
      </c>
      <c r="B64" s="6">
        <f>'Source Data'!B45</f>
        <v>0</v>
      </c>
      <c r="C64" s="6">
        <f>'Source Data'!C45</f>
        <v>0</v>
      </c>
      <c r="D64" s="6">
        <f>'Source Data'!D45</f>
        <v>0</v>
      </c>
      <c r="E64" s="6">
        <f>'Source Data'!E45</f>
        <v>0</v>
      </c>
      <c r="F64" s="6">
        <f>'Source Data'!F45</f>
        <v>17283</v>
      </c>
      <c r="G64" s="6">
        <f>'Source Data'!G45</f>
        <v>17720</v>
      </c>
      <c r="H64" s="7">
        <f t="shared" si="23"/>
        <v>17720</v>
      </c>
      <c r="I64" s="7">
        <f t="shared" si="23"/>
        <v>17720</v>
      </c>
      <c r="J64" s="7">
        <f t="shared" si="23"/>
        <v>17720</v>
      </c>
      <c r="K64" s="7">
        <f t="shared" si="23"/>
        <v>17720</v>
      </c>
      <c r="L64" s="7">
        <f t="shared" si="23"/>
        <v>17720</v>
      </c>
    </row>
    <row r="65" spans="1:12">
      <c r="A65" s="8" t="s">
        <v>136</v>
      </c>
      <c r="B65" s="21">
        <f t="shared" ref="B65:L65" si="24">SUM(B60:B64)</f>
        <v>2266563</v>
      </c>
      <c r="C65" s="21">
        <f t="shared" si="24"/>
        <v>3070190</v>
      </c>
      <c r="D65" s="21">
        <f t="shared" si="24"/>
        <v>4203783</v>
      </c>
      <c r="E65" s="21">
        <f t="shared" si="24"/>
        <v>5605311</v>
      </c>
      <c r="F65" s="21">
        <f t="shared" si="24"/>
        <v>7102434</v>
      </c>
      <c r="G65" s="21">
        <f t="shared" si="24"/>
        <v>8671113</v>
      </c>
      <c r="H65" s="18">
        <f t="shared" si="24"/>
        <v>10614839.589024827</v>
      </c>
      <c r="I65" s="18">
        <f t="shared" si="24"/>
        <v>12940505.979078401</v>
      </c>
      <c r="J65" s="18">
        <f t="shared" si="24"/>
        <v>15712723.034331322</v>
      </c>
      <c r="K65" s="18">
        <f t="shared" si="24"/>
        <v>18982344.007686753</v>
      </c>
      <c r="L65" s="18">
        <f t="shared" si="24"/>
        <v>22743907.63552624</v>
      </c>
    </row>
    <row r="66" spans="1:12" ht="18" customHeight="1">
      <c r="A66" s="90" t="s">
        <v>226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</row>
    <row r="67" spans="1:12">
      <c r="A67" s="1" t="s">
        <v>137</v>
      </c>
      <c r="B67" s="6">
        <f>'Source Data'!B47</f>
        <v>725851</v>
      </c>
      <c r="C67" s="6">
        <f>'Source Data'!C47</f>
        <v>583014</v>
      </c>
      <c r="D67" s="6">
        <f>'Source Data'!D47</f>
        <v>690862</v>
      </c>
      <c r="E67" s="6">
        <f>'Source Data'!E47</f>
        <v>469629</v>
      </c>
      <c r="F67" s="6">
        <f>'Source Data'!F47</f>
        <v>272219</v>
      </c>
      <c r="G67" s="6">
        <f>'Source Data'!G47</f>
        <v>312861</v>
      </c>
      <c r="H67" s="7">
        <f>(G67+G76+Assumptions!B47)*(1-Assumptions!B48)</f>
        <v>310067.28999999998</v>
      </c>
      <c r="I67" s="7">
        <f>(H67+H76+Assumptions!C47)*(1-Assumptions!C48)</f>
        <v>303367.28999999998</v>
      </c>
      <c r="J67" s="7">
        <f>(I67+I76+Assumptions!D47)*(1-Assumptions!D48)</f>
        <v>296667.28999999998</v>
      </c>
      <c r="K67" s="7">
        <f>(J67+J76+Assumptions!E47)*(1-Assumptions!E48)</f>
        <v>289967.28999999998</v>
      </c>
      <c r="L67" s="7">
        <f>(K67+K76+Assumptions!F47)*(1-Assumptions!F48)</f>
        <v>283267.28999999998</v>
      </c>
    </row>
    <row r="68" spans="1:12">
      <c r="A68" s="1" t="s">
        <v>138</v>
      </c>
      <c r="B68" s="6">
        <f>'Source Data'!B48</f>
        <v>67876</v>
      </c>
      <c r="C68" s="6">
        <f>'Source Data'!C48</f>
        <v>46621</v>
      </c>
      <c r="D68" s="6">
        <f>'Source Data'!D48</f>
        <v>34673</v>
      </c>
      <c r="E68" s="6">
        <f>'Source Data'!E48</f>
        <v>35612</v>
      </c>
      <c r="F68" s="6">
        <f>'Source Data'!F48</f>
        <v>60818</v>
      </c>
      <c r="G68" s="6">
        <f>'Source Data'!G48</f>
        <v>87851</v>
      </c>
      <c r="H68" s="7">
        <f>(G68+G77+Assumptions!B49)*(1-Assumptions!B50)</f>
        <v>110915.447</v>
      </c>
      <c r="I68" s="7">
        <f>(H68+H77+Assumptions!C49)*(1-Assumptions!C50)</f>
        <v>136521.37492999999</v>
      </c>
      <c r="J68" s="7">
        <f>(I68+I77+Assumptions!D49)*(1-Assumptions!D50)</f>
        <v>164175.77709440002</v>
      </c>
      <c r="K68" s="7">
        <f>(J68+J77+Assumptions!E49)*(1-Assumptions!E50)</f>
        <v>193765.98741030804</v>
      </c>
      <c r="L68" s="7">
        <f>(K68+K77+Assumptions!F49)*(1-Assumptions!F50)</f>
        <v>225131.61034517054</v>
      </c>
    </row>
    <row r="69" spans="1:12">
      <c r="A69" s="1" t="s">
        <v>227</v>
      </c>
      <c r="B69" s="6">
        <f>'Source Data'!B49</f>
        <v>419936</v>
      </c>
      <c r="C69" s="6">
        <f>'Source Data'!C49</f>
        <v>450000</v>
      </c>
      <c r="D69" s="6">
        <f>'Source Data'!D49</f>
        <v>370000</v>
      </c>
      <c r="E69" s="6">
        <f>'Source Data'!E49</f>
        <v>370000</v>
      </c>
      <c r="F69" s="6">
        <f>'Source Data'!F49</f>
        <v>170000</v>
      </c>
      <c r="G69" s="41">
        <f>'Source Data'!G49</f>
        <v>0</v>
      </c>
      <c r="H69" s="7">
        <f>(G69+G78+Assumptions!B51)*(1-Assumptions!B52)</f>
        <v>1411.5</v>
      </c>
      <c r="I69" s="7">
        <f>(H69+H78+Assumptions!C51)*(1-Assumptions!C52)</f>
        <v>1411.5</v>
      </c>
      <c r="J69" s="7">
        <f>(I69+I78+Assumptions!D51)*(1-Assumptions!D52)</f>
        <v>1411.5</v>
      </c>
      <c r="K69" s="7">
        <f>(J69+J78+Assumptions!E51)*(1-Assumptions!E52)</f>
        <v>1411.5</v>
      </c>
      <c r="L69" s="7">
        <f>(K69+K78+Assumptions!F51)*(1-Assumptions!F52)</f>
        <v>1411.5</v>
      </c>
    </row>
    <row r="70" spans="1:12">
      <c r="A70" s="1" t="s">
        <v>141</v>
      </c>
      <c r="B70" s="39">
        <f>'Source Data'!B50+'Source Data'!B51</f>
        <v>180</v>
      </c>
      <c r="C70" s="39">
        <f>'Source Data'!C50+'Source Data'!C51</f>
        <v>150</v>
      </c>
      <c r="D70" s="39">
        <f>'Source Data'!D50+'Source Data'!D51</f>
        <v>120</v>
      </c>
      <c r="E70" s="39">
        <f>'Source Data'!E50+'Source Data'!E51</f>
        <v>90</v>
      </c>
      <c r="F70" s="39">
        <f>'Source Data'!F50+'Source Data'!F51</f>
        <v>22996</v>
      </c>
      <c r="G70" s="39">
        <f>'Source Data'!G50+'Source Data'!G51</f>
        <v>11610</v>
      </c>
      <c r="H70" s="7">
        <f>G70</f>
        <v>11610</v>
      </c>
      <c r="I70" s="7">
        <f>H70</f>
        <v>11610</v>
      </c>
      <c r="J70" s="7">
        <f>I70</f>
        <v>11610</v>
      </c>
      <c r="K70" s="7">
        <f>J70</f>
        <v>11610</v>
      </c>
      <c r="L70" s="7">
        <f>K70</f>
        <v>11610</v>
      </c>
    </row>
    <row r="71" spans="1:12">
      <c r="A71" s="1" t="s">
        <v>228</v>
      </c>
      <c r="B71" s="6">
        <f>'Source Data'!B52</f>
        <v>2844</v>
      </c>
      <c r="C71" s="6">
        <f>'Source Data'!C52</f>
        <v>4827</v>
      </c>
      <c r="D71" s="6">
        <f>'Source Data'!D52</f>
        <v>5794</v>
      </c>
      <c r="E71" s="6">
        <f>'Source Data'!E52</f>
        <v>10900</v>
      </c>
      <c r="F71" s="6">
        <f>'Source Data'!F52</f>
        <v>14142</v>
      </c>
      <c r="G71" s="6">
        <f>'Source Data'!G52</f>
        <v>18041</v>
      </c>
      <c r="H71" s="7">
        <f>G71*(1+Assumptions!B29)</f>
        <v>18672.434999999998</v>
      </c>
      <c r="I71" s="7">
        <f>H71*(1+Assumptions!C29)</f>
        <v>19269.95292</v>
      </c>
      <c r="J71" s="7">
        <f>I71*(1+Assumptions!D29)</f>
        <v>19828.781554679997</v>
      </c>
      <c r="K71" s="7">
        <f>J71*(1+Assumptions!E29)</f>
        <v>20344.329875101677</v>
      </c>
      <c r="L71" s="7">
        <f>K71*(1+Assumptions!F29)</f>
        <v>20812.249462229014</v>
      </c>
    </row>
    <row r="72" spans="1:12">
      <c r="A72" s="1" t="s">
        <v>229</v>
      </c>
      <c r="B72" s="6">
        <f>'Source Data'!B53</f>
        <v>6555</v>
      </c>
      <c r="C72" s="6">
        <f>'Source Data'!C53</f>
        <v>8187</v>
      </c>
      <c r="D72" s="6">
        <f>'Source Data'!D53</f>
        <v>7700</v>
      </c>
      <c r="E72" s="6">
        <f>'Source Data'!E53</f>
        <v>6880</v>
      </c>
      <c r="F72" s="6">
        <f>'Source Data'!F53</f>
        <v>30336</v>
      </c>
      <c r="G72" s="6">
        <f>'Source Data'!G53</f>
        <v>4609</v>
      </c>
      <c r="H72" s="7">
        <f t="shared" ref="H72:L73" si="25">G72</f>
        <v>4609</v>
      </c>
      <c r="I72" s="7">
        <f t="shared" si="25"/>
        <v>4609</v>
      </c>
      <c r="J72" s="7">
        <f t="shared" si="25"/>
        <v>4609</v>
      </c>
      <c r="K72" s="7">
        <f t="shared" si="25"/>
        <v>4609</v>
      </c>
      <c r="L72" s="7">
        <f t="shared" si="25"/>
        <v>4609</v>
      </c>
    </row>
    <row r="73" spans="1:12">
      <c r="A73" s="1" t="s">
        <v>144</v>
      </c>
      <c r="B73" s="6">
        <f>'Source Data'!B54</f>
        <v>14</v>
      </c>
      <c r="C73" s="6">
        <f>'Source Data'!C54</f>
        <v>5</v>
      </c>
      <c r="D73" s="6">
        <f>'Source Data'!D54</f>
        <v>0</v>
      </c>
      <c r="E73" s="6">
        <f>'Source Data'!E54</f>
        <v>0</v>
      </c>
      <c r="F73" s="6">
        <f>'Source Data'!F54</f>
        <v>0</v>
      </c>
      <c r="G73" s="6">
        <f>'Source Data'!G54</f>
        <v>0</v>
      </c>
      <c r="H73" s="7">
        <f t="shared" si="25"/>
        <v>0</v>
      </c>
      <c r="I73" s="7">
        <f t="shared" si="25"/>
        <v>0</v>
      </c>
      <c r="J73" s="7">
        <f t="shared" si="25"/>
        <v>0</v>
      </c>
      <c r="K73" s="7">
        <f t="shared" si="25"/>
        <v>0</v>
      </c>
      <c r="L73" s="7">
        <f t="shared" si="25"/>
        <v>0</v>
      </c>
    </row>
    <row r="74" spans="1:12">
      <c r="A74" s="8" t="s">
        <v>145</v>
      </c>
      <c r="B74" s="21">
        <f t="shared" ref="B74:L74" si="26">SUM(B67:B73)</f>
        <v>1223256</v>
      </c>
      <c r="C74" s="21">
        <f t="shared" si="26"/>
        <v>1092804</v>
      </c>
      <c r="D74" s="21">
        <f t="shared" si="26"/>
        <v>1109149</v>
      </c>
      <c r="E74" s="21">
        <f t="shared" si="26"/>
        <v>893111</v>
      </c>
      <c r="F74" s="21">
        <f t="shared" si="26"/>
        <v>570511</v>
      </c>
      <c r="G74" s="21">
        <f t="shared" si="26"/>
        <v>434972</v>
      </c>
      <c r="H74" s="18">
        <f t="shared" si="26"/>
        <v>457285.67199999996</v>
      </c>
      <c r="I74" s="18">
        <f t="shared" si="26"/>
        <v>476789.11784999998</v>
      </c>
      <c r="J74" s="18">
        <f t="shared" si="26"/>
        <v>498302.34864908003</v>
      </c>
      <c r="K74" s="18">
        <f t="shared" si="26"/>
        <v>521708.1072854097</v>
      </c>
      <c r="L74" s="18">
        <f t="shared" si="26"/>
        <v>546841.64980739949</v>
      </c>
    </row>
    <row r="75" spans="1:12">
      <c r="A75" s="1" t="s">
        <v>146</v>
      </c>
      <c r="B75" s="6">
        <f>'Source Data'!B56</f>
        <v>1695163</v>
      </c>
      <c r="C75" s="6">
        <f>'Source Data'!C56</f>
        <v>2454051</v>
      </c>
      <c r="D75" s="6">
        <f>'Source Data'!D56</f>
        <v>2651049</v>
      </c>
      <c r="E75" s="6">
        <f>'Source Data'!E56</f>
        <v>3095968</v>
      </c>
      <c r="F75" s="6">
        <f>'Source Data'!F56</f>
        <v>4362006</v>
      </c>
      <c r="G75" s="6">
        <f>'Source Data'!G56</f>
        <v>5194539</v>
      </c>
      <c r="H75" s="7">
        <f>-H8*Assumptions!$B$38/Assumptions!$B$11</f>
        <v>6083424.6476947051</v>
      </c>
      <c r="I75" s="7">
        <f>-I8*Assumptions!$B$38/Assumptions!$B$11</f>
        <v>7030816.6810792005</v>
      </c>
      <c r="J75" s="7">
        <f>-J8*Assumptions!$B$38/Assumptions!$B$11</f>
        <v>8017844.0706429845</v>
      </c>
      <c r="K75" s="7">
        <f>-K8*Assumptions!$B$38/Assumptions!$B$11</f>
        <v>9046730.6977889556</v>
      </c>
      <c r="L75" s="7">
        <f>-L8*Assumptions!$B$38/Assumptions!$B$11</f>
        <v>10112117.454220494</v>
      </c>
    </row>
    <row r="76" spans="1:12">
      <c r="A76" s="38" t="s">
        <v>147</v>
      </c>
      <c r="B76" s="6">
        <f>'Source Data'!B57</f>
        <v>216868</v>
      </c>
      <c r="C76" s="6">
        <f>'Source Data'!C57</f>
        <v>196169</v>
      </c>
      <c r="D76" s="6">
        <f>'Source Data'!D57</f>
        <v>410157</v>
      </c>
      <c r="E76" s="6">
        <f>'Source Data'!E57</f>
        <v>278588</v>
      </c>
      <c r="F76" s="6">
        <f>'Source Data'!F57</f>
        <v>361034</v>
      </c>
      <c r="G76" s="6">
        <f>'Source Data'!G57</f>
        <v>159926</v>
      </c>
      <c r="H76" s="7">
        <f>(G67+G76+Assumptions!B47)*(Assumptions!B48)</f>
        <v>152719.71000000002</v>
      </c>
      <c r="I76" s="7">
        <f>(H67+H76+Assumptions!C47)*(Assumptions!C48)</f>
        <v>149419.71000000002</v>
      </c>
      <c r="J76" s="7">
        <f>(I67+I76+Assumptions!D47)*(Assumptions!D48)</f>
        <v>146119.71000000002</v>
      </c>
      <c r="K76" s="7">
        <f>(J67+J76+Assumptions!E47)*(Assumptions!E48)</f>
        <v>142819.71000000002</v>
      </c>
      <c r="L76" s="7">
        <f>(K67+K76+Assumptions!F47)*(Assumptions!F48)</f>
        <v>139519.71000000002</v>
      </c>
    </row>
    <row r="77" spans="1:12">
      <c r="A77" s="38" t="s">
        <v>148</v>
      </c>
      <c r="B77" s="6">
        <f>'Source Data'!B58</f>
        <v>42249</v>
      </c>
      <c r="C77" s="6">
        <f>'Source Data'!C58</f>
        <v>27721</v>
      </c>
      <c r="D77" s="6">
        <f>'Source Data'!D58</f>
        <v>17893</v>
      </c>
      <c r="E77" s="6">
        <f>'Source Data'!E58</f>
        <v>14565</v>
      </c>
      <c r="F77" s="6">
        <f>'Source Data'!F58</f>
        <v>17900</v>
      </c>
      <c r="G77" s="6">
        <f>'Source Data'!G58</f>
        <v>22812</v>
      </c>
      <c r="H77" s="7">
        <f>(G68+G77+Assumptions!B49)*(Assumptions!B50)</f>
        <v>29483.852999999996</v>
      </c>
      <c r="I77" s="7">
        <f>(H68+H77+Assumptions!C49)*(Assumptions!C50)</f>
        <v>36290.49207</v>
      </c>
      <c r="J77" s="7">
        <f>(I68+I77+Assumptions!D49)*(Assumptions!D50)</f>
        <v>43641.662265600004</v>
      </c>
      <c r="K77" s="7">
        <f>(J68+J77+Assumptions!E49)*(Assumptions!E50)</f>
        <v>51507.414374892003</v>
      </c>
      <c r="L77" s="7">
        <f>(K68+K77+Assumptions!F49)*(Assumptions!F50)</f>
        <v>59845.111610741529</v>
      </c>
    </row>
    <row r="78" spans="1:12">
      <c r="A78" s="38" t="s">
        <v>149</v>
      </c>
      <c r="B78" s="6">
        <f>'Source Data'!B59</f>
        <v>930</v>
      </c>
      <c r="C78" s="6">
        <f>'Source Data'!C59</f>
        <v>171642</v>
      </c>
      <c r="D78" s="6">
        <f>'Source Data'!D59</f>
        <v>260947</v>
      </c>
      <c r="E78" s="6">
        <f>'Source Data'!E59</f>
        <v>4784</v>
      </c>
      <c r="F78" s="6">
        <f>'Source Data'!F59</f>
        <v>204845</v>
      </c>
      <c r="G78" s="6">
        <f>'Source Data'!G59</f>
        <v>171882</v>
      </c>
      <c r="H78" s="7">
        <f>(G69+G78+Assumptions!B51)*(Assumptions!B52)</f>
        <v>470.5</v>
      </c>
      <c r="I78" s="7">
        <f>(H69+H78+Assumptions!C51)*(Assumptions!C52)</f>
        <v>470.5</v>
      </c>
      <c r="J78" s="7">
        <f>(I69+I78+Assumptions!D51)*(Assumptions!D52)</f>
        <v>470.5</v>
      </c>
      <c r="K78" s="7">
        <f>(J69+J78+Assumptions!E51)*(Assumptions!E52)</f>
        <v>470.5</v>
      </c>
      <c r="L78" s="7">
        <f>(K69+K78+Assumptions!F51)*(Assumptions!F52)</f>
        <v>470.5</v>
      </c>
    </row>
    <row r="79" spans="1:12">
      <c r="A79" s="1" t="s">
        <v>230</v>
      </c>
      <c r="B79" s="6">
        <f>'Source Data'!B60</f>
        <v>1332</v>
      </c>
      <c r="C79" s="6">
        <f>'Source Data'!C60</f>
        <v>1944</v>
      </c>
      <c r="D79" s="6">
        <f>'Source Data'!D60</f>
        <v>229660</v>
      </c>
      <c r="E79" s="6">
        <f>'Source Data'!E60</f>
        <v>307273</v>
      </c>
      <c r="F79" s="6">
        <f>'Source Data'!F60</f>
        <v>382575</v>
      </c>
      <c r="G79" s="6">
        <f>'Source Data'!G60</f>
        <v>464694</v>
      </c>
      <c r="H79" s="7">
        <f>G79*(1+Assumptions!B29+H7)</f>
        <v>559603.79601585271</v>
      </c>
      <c r="I79" s="7">
        <f>H79*(1+Assumptions!C29+I7)</f>
        <v>665508.84210761427</v>
      </c>
      <c r="J79" s="7">
        <f>I79*(1+Assumptions!D29+J7)</f>
        <v>779233.93217325222</v>
      </c>
      <c r="K79" s="7">
        <f>J79*(1+Assumptions!E29+K7)</f>
        <v>900645.77648998506</v>
      </c>
      <c r="L79" s="7">
        <f>K79*(1+Assumptions!F29+L7)</f>
        <v>1027425.0314589516</v>
      </c>
    </row>
    <row r="80" spans="1:12">
      <c r="A80" s="1" t="s">
        <v>151</v>
      </c>
      <c r="B80" s="6">
        <f>'Source Data'!B61</f>
        <v>80509</v>
      </c>
      <c r="C80" s="6">
        <f>'Source Data'!C61</f>
        <v>93017</v>
      </c>
      <c r="D80" s="6">
        <f>'Source Data'!D61</f>
        <v>120034</v>
      </c>
      <c r="E80" s="6">
        <f>'Source Data'!E61</f>
        <v>176736</v>
      </c>
      <c r="F80" s="6">
        <f>'Source Data'!F61</f>
        <v>50612</v>
      </c>
      <c r="G80" s="6">
        <f>'Source Data'!G61</f>
        <v>47605</v>
      </c>
      <c r="H80" s="7">
        <f>G80*(1+Assumptions!B29)</f>
        <v>49271.174999999996</v>
      </c>
      <c r="I80" s="7">
        <f>H80*(1+Assumptions!C29)</f>
        <v>50847.852599999998</v>
      </c>
      <c r="J80" s="7">
        <f>I80*(1+Assumptions!D29)</f>
        <v>52322.440325399992</v>
      </c>
      <c r="K80" s="7">
        <f>J80*(1+Assumptions!E29)</f>
        <v>53682.823773860393</v>
      </c>
      <c r="L80" s="7">
        <f>K80*(1+Assumptions!F29)</f>
        <v>54917.528720659175</v>
      </c>
    </row>
    <row r="81" spans="1:12">
      <c r="A81" s="1" t="s">
        <v>152</v>
      </c>
      <c r="B81" s="6">
        <f>'Source Data'!B62</f>
        <v>43640</v>
      </c>
      <c r="C81" s="6">
        <f>'Source Data'!C62</f>
        <v>60993</v>
      </c>
      <c r="D81" s="6">
        <f>'Source Data'!D62</f>
        <v>387</v>
      </c>
      <c r="E81" s="6">
        <f>'Source Data'!E62</f>
        <v>1379</v>
      </c>
      <c r="F81" s="6">
        <f>'Source Data'!F62</f>
        <v>3877</v>
      </c>
      <c r="G81" s="6">
        <f>'Source Data'!G62</f>
        <v>3737</v>
      </c>
      <c r="H81" s="7">
        <f>G81*(1+Assumptions!B29)</f>
        <v>3867.7949999999996</v>
      </c>
      <c r="I81" s="7">
        <f>H81*(1+Assumptions!C29)</f>
        <v>3991.5644399999996</v>
      </c>
      <c r="J81" s="7">
        <f>I81*(1+Assumptions!D29)</f>
        <v>4107.3198087599994</v>
      </c>
      <c r="K81" s="7">
        <f>J81*(1+Assumptions!E29)</f>
        <v>4214.1101237877592</v>
      </c>
      <c r="L81" s="7">
        <f>K81*(1+Assumptions!F29)</f>
        <v>4311.0346566348771</v>
      </c>
    </row>
    <row r="82" spans="1:12">
      <c r="A82" s="1" t="s">
        <v>231</v>
      </c>
      <c r="B82" s="6">
        <f>'Source Data'!B63-SUM(B75:B81)</f>
        <v>0</v>
      </c>
      <c r="C82" s="6">
        <f>'Source Data'!C63-SUM(C75:C81)</f>
        <v>0</v>
      </c>
      <c r="D82" s="6">
        <f>'Source Data'!D63-SUM(D75:D81)</f>
        <v>0</v>
      </c>
      <c r="E82" s="6">
        <f>'Source Data'!E63-SUM(E75:E81)</f>
        <v>0</v>
      </c>
      <c r="F82" s="6">
        <f>'Source Data'!F63-SUM(F75:F81)</f>
        <v>0</v>
      </c>
      <c r="G82" s="6">
        <f>'Source Data'!G63-SUM(G75:G81)</f>
        <v>0</v>
      </c>
      <c r="H82" s="42">
        <f>H58-H65-H74-SUM(H75:H81)</f>
        <v>-561.18999999947846</v>
      </c>
      <c r="I82" s="42">
        <f>I58-I65-I74-SUM(I75:I81)</f>
        <v>-1092.2360799973831</v>
      </c>
      <c r="J82" s="42">
        <f>J58-J65-J74-SUM(J75:J81)</f>
        <v>-1588.8969263248146</v>
      </c>
      <c r="K82" s="42">
        <f>K58-K65-K74-SUM(K75:K81)</f>
        <v>-2047.092246407643</v>
      </c>
      <c r="L82" s="42">
        <f>L58-L65-L74-SUM(L75:L81)</f>
        <v>-2462.9573680758476</v>
      </c>
    </row>
    <row r="83" spans="1:12">
      <c r="A83" s="8" t="s">
        <v>153</v>
      </c>
      <c r="B83" s="21">
        <f t="shared" ref="B83:L83" si="27">SUM(B75:B82)</f>
        <v>2080691</v>
      </c>
      <c r="C83" s="21">
        <f t="shared" si="27"/>
        <v>3005537</v>
      </c>
      <c r="D83" s="21">
        <f t="shared" si="27"/>
        <v>3690127</v>
      </c>
      <c r="E83" s="21">
        <f t="shared" si="27"/>
        <v>3879293</v>
      </c>
      <c r="F83" s="21">
        <f t="shared" si="27"/>
        <v>5382849</v>
      </c>
      <c r="G83" s="21">
        <f t="shared" si="27"/>
        <v>6065195</v>
      </c>
      <c r="H83" s="18">
        <f t="shared" si="27"/>
        <v>6878280.2867105585</v>
      </c>
      <c r="I83" s="18">
        <f t="shared" si="27"/>
        <v>7936253.406216817</v>
      </c>
      <c r="J83" s="18">
        <f t="shared" si="27"/>
        <v>9042150.7382896729</v>
      </c>
      <c r="K83" s="18">
        <f t="shared" si="27"/>
        <v>10198023.940305073</v>
      </c>
      <c r="L83" s="18">
        <f t="shared" si="27"/>
        <v>11396143.413299406</v>
      </c>
    </row>
    <row r="84" spans="1:12">
      <c r="A84" s="8" t="s">
        <v>154</v>
      </c>
      <c r="B84" s="21">
        <f t="shared" ref="B84:L84" si="28">SUM(B74,B83)</f>
        <v>3303947</v>
      </c>
      <c r="C84" s="21">
        <f t="shared" si="28"/>
        <v>4098341</v>
      </c>
      <c r="D84" s="21">
        <f t="shared" si="28"/>
        <v>4799276</v>
      </c>
      <c r="E84" s="21">
        <f t="shared" si="28"/>
        <v>4772404</v>
      </c>
      <c r="F84" s="21">
        <f t="shared" si="28"/>
        <v>5953360</v>
      </c>
      <c r="G84" s="21">
        <f t="shared" si="28"/>
        <v>6500167</v>
      </c>
      <c r="H84" s="18">
        <f t="shared" si="28"/>
        <v>7335565.9587105587</v>
      </c>
      <c r="I84" s="18">
        <f t="shared" si="28"/>
        <v>8413042.524066817</v>
      </c>
      <c r="J84" s="18">
        <f t="shared" si="28"/>
        <v>9540453.0869387537</v>
      </c>
      <c r="K84" s="18">
        <f t="shared" si="28"/>
        <v>10719732.047590483</v>
      </c>
      <c r="L84" s="18">
        <f t="shared" si="28"/>
        <v>11942985.063106805</v>
      </c>
    </row>
    <row r="85" spans="1:12">
      <c r="A85" s="8" t="s">
        <v>232</v>
      </c>
      <c r="B85" s="21">
        <f t="shared" ref="B85:L85" si="29">B65+B84</f>
        <v>5570510</v>
      </c>
      <c r="C85" s="21">
        <f t="shared" si="29"/>
        <v>7168531</v>
      </c>
      <c r="D85" s="21">
        <f t="shared" si="29"/>
        <v>9003059</v>
      </c>
      <c r="E85" s="21">
        <f t="shared" si="29"/>
        <v>10377715</v>
      </c>
      <c r="F85" s="21">
        <f t="shared" si="29"/>
        <v>13055794</v>
      </c>
      <c r="G85" s="21">
        <f t="shared" si="29"/>
        <v>15171280</v>
      </c>
      <c r="H85" s="18">
        <f t="shared" si="29"/>
        <v>17950405.547735386</v>
      </c>
      <c r="I85" s="18">
        <f t="shared" si="29"/>
        <v>21353548.503145218</v>
      </c>
      <c r="J85" s="18">
        <f t="shared" si="29"/>
        <v>25253176.121270075</v>
      </c>
      <c r="K85" s="18">
        <f t="shared" si="29"/>
        <v>29702076.055277236</v>
      </c>
      <c r="L85" s="18">
        <f t="shared" si="29"/>
        <v>34686892.698633045</v>
      </c>
    </row>
    <row r="86" spans="1:12">
      <c r="A86" s="8" t="s">
        <v>233</v>
      </c>
      <c r="B86" s="17">
        <f t="shared" ref="B86:L86" si="30">B58-B85</f>
        <v>0</v>
      </c>
      <c r="C86" s="17">
        <f t="shared" si="30"/>
        <v>0</v>
      </c>
      <c r="D86" s="17">
        <f t="shared" si="30"/>
        <v>0</v>
      </c>
      <c r="E86" s="17">
        <f t="shared" si="30"/>
        <v>0</v>
      </c>
      <c r="F86" s="17">
        <f t="shared" si="30"/>
        <v>0</v>
      </c>
      <c r="G86" s="17">
        <f t="shared" si="30"/>
        <v>0</v>
      </c>
      <c r="H86" s="18">
        <f t="shared" si="30"/>
        <v>0</v>
      </c>
      <c r="I86" s="18">
        <f t="shared" si="30"/>
        <v>0</v>
      </c>
      <c r="J86" s="18">
        <f t="shared" si="30"/>
        <v>0</v>
      </c>
      <c r="K86" s="18">
        <f t="shared" si="30"/>
        <v>0</v>
      </c>
      <c r="L86" s="18">
        <f t="shared" si="30"/>
        <v>0</v>
      </c>
    </row>
    <row r="87" spans="1:12">
      <c r="A87" s="8" t="s">
        <v>234</v>
      </c>
      <c r="B87" s="17">
        <f t="shared" ref="B87:L87" si="31">B44-B43-B42</f>
        <v>0</v>
      </c>
      <c r="C87" s="17">
        <f t="shared" si="31"/>
        <v>0</v>
      </c>
      <c r="D87" s="17">
        <f t="shared" si="31"/>
        <v>0</v>
      </c>
      <c r="E87" s="17">
        <f t="shared" si="31"/>
        <v>0</v>
      </c>
      <c r="F87" s="17">
        <f t="shared" si="31"/>
        <v>0</v>
      </c>
      <c r="G87" s="17">
        <f t="shared" si="31"/>
        <v>0</v>
      </c>
      <c r="H87" s="18">
        <f t="shared" si="31"/>
        <v>0</v>
      </c>
      <c r="I87" s="18">
        <f t="shared" si="31"/>
        <v>0</v>
      </c>
      <c r="J87" s="18">
        <f t="shared" si="31"/>
        <v>0</v>
      </c>
      <c r="K87" s="18">
        <f t="shared" si="31"/>
        <v>0</v>
      </c>
      <c r="L87" s="18">
        <f t="shared" si="31"/>
        <v>0</v>
      </c>
    </row>
    <row r="88" spans="1:12">
      <c r="A88" s="8" t="s">
        <v>235</v>
      </c>
      <c r="B88" s="21">
        <f t="shared" ref="B88:L88" si="32">SUM(B67,B68,B69,B76,B77,B78)</f>
        <v>1473710</v>
      </c>
      <c r="C88" s="21">
        <f t="shared" si="32"/>
        <v>1475167</v>
      </c>
      <c r="D88" s="21">
        <f t="shared" si="32"/>
        <v>1784532</v>
      </c>
      <c r="E88" s="21">
        <f t="shared" si="32"/>
        <v>1173178</v>
      </c>
      <c r="F88" s="21">
        <f t="shared" si="32"/>
        <v>1086816</v>
      </c>
      <c r="G88" s="21">
        <f t="shared" si="32"/>
        <v>755332</v>
      </c>
      <c r="H88" s="21">
        <f t="shared" si="32"/>
        <v>605068.29999999993</v>
      </c>
      <c r="I88" s="21">
        <f t="shared" si="32"/>
        <v>627480.86699999997</v>
      </c>
      <c r="J88" s="21">
        <f t="shared" si="32"/>
        <v>652486.43936000008</v>
      </c>
      <c r="K88" s="21">
        <f t="shared" si="32"/>
        <v>679942.40178520011</v>
      </c>
      <c r="L88" s="21">
        <f t="shared" si="32"/>
        <v>709645.72195591219</v>
      </c>
    </row>
    <row r="89" spans="1:12">
      <c r="A89" s="8" t="s">
        <v>236</v>
      </c>
      <c r="B89" s="21">
        <f t="shared" ref="B89:L89" si="33">B88-B56</f>
        <v>993292</v>
      </c>
      <c r="C89" s="21">
        <f t="shared" si="33"/>
        <v>1056552</v>
      </c>
      <c r="D89" s="21">
        <f t="shared" si="33"/>
        <v>1401814</v>
      </c>
      <c r="E89" s="21">
        <f t="shared" si="33"/>
        <v>954789</v>
      </c>
      <c r="F89" s="21">
        <f t="shared" si="33"/>
        <v>195794</v>
      </c>
      <c r="G89" s="46">
        <f t="shared" si="33"/>
        <v>-199482</v>
      </c>
      <c r="H89" s="46">
        <f t="shared" si="33"/>
        <v>581564.89759967744</v>
      </c>
      <c r="I89" s="46">
        <f t="shared" si="33"/>
        <v>-151643.94838149857</v>
      </c>
      <c r="J89" s="46">
        <f t="shared" si="33"/>
        <v>-1508908.6714879749</v>
      </c>
      <c r="K89" s="46">
        <f t="shared" si="33"/>
        <v>-3637854.6528687929</v>
      </c>
      <c r="L89" s="46">
        <f t="shared" si="33"/>
        <v>-6648703.8872087859</v>
      </c>
    </row>
    <row r="90" spans="1:12">
      <c r="A90" s="8" t="s">
        <v>237</v>
      </c>
      <c r="B90" s="46">
        <f>SUM(B51:B54)-B75-B79-B81-B80</f>
        <v>-785306</v>
      </c>
      <c r="C90" s="46">
        <f t="shared" ref="C90:L90" si="34">SUM(C51:C54)-C75-C79-C81-C80</f>
        <v>-1044763</v>
      </c>
      <c r="D90" s="46">
        <f t="shared" si="34"/>
        <v>-678384</v>
      </c>
      <c r="E90" s="46">
        <f t="shared" si="34"/>
        <v>-547956</v>
      </c>
      <c r="F90" s="46">
        <f t="shared" si="34"/>
        <v>-1252740</v>
      </c>
      <c r="G90" s="46">
        <f t="shared" si="34"/>
        <v>-1695364</v>
      </c>
      <c r="H90" s="46">
        <f>SUM(H51:H54)-H75-H79-H81-H80</f>
        <v>-779607.19423685595</v>
      </c>
      <c r="I90" s="46">
        <f t="shared" si="34"/>
        <v>-916550.00780382194</v>
      </c>
      <c r="J90" s="46">
        <f t="shared" si="34"/>
        <v>-1060630.8214744166</v>
      </c>
      <c r="K90" s="46">
        <f t="shared" si="34"/>
        <v>-1211656.5319045905</v>
      </c>
      <c r="L90" s="46">
        <f t="shared" si="34"/>
        <v>-1379735.1716744204</v>
      </c>
    </row>
    <row r="91" spans="1:12">
      <c r="A91" s="8" t="s">
        <v>238</v>
      </c>
      <c r="B91" s="46">
        <f>B88</f>
        <v>1473710</v>
      </c>
      <c r="C91" s="46">
        <f>SUM(B88:C88)/2</f>
        <v>1474438.5</v>
      </c>
      <c r="D91" s="46">
        <f t="shared" ref="D91:L91" si="35">SUM(C88:D88)/2</f>
        <v>1629849.5</v>
      </c>
      <c r="E91" s="46">
        <f t="shared" si="35"/>
        <v>1478855</v>
      </c>
      <c r="F91" s="46">
        <f t="shared" si="35"/>
        <v>1129997</v>
      </c>
      <c r="G91" s="46">
        <f t="shared" si="35"/>
        <v>921074</v>
      </c>
      <c r="H91" s="46">
        <f t="shared" si="35"/>
        <v>680200.14999999991</v>
      </c>
      <c r="I91" s="46">
        <f t="shared" si="35"/>
        <v>616274.58349999995</v>
      </c>
      <c r="J91" s="46">
        <f t="shared" si="35"/>
        <v>639983.65318000002</v>
      </c>
      <c r="K91" s="46">
        <f t="shared" si="35"/>
        <v>666214.42057260009</v>
      </c>
      <c r="L91" s="46">
        <f t="shared" si="35"/>
        <v>694794.06187055609</v>
      </c>
    </row>
    <row r="92" spans="1:12">
      <c r="A92" s="70"/>
    </row>
  </sheetData>
  <mergeCells count="7">
    <mergeCell ref="A59:L59"/>
    <mergeCell ref="A66:L66"/>
    <mergeCell ref="A1:L1"/>
    <mergeCell ref="A2:L2"/>
    <mergeCell ref="A5:L5"/>
    <mergeCell ref="A30:L30"/>
    <mergeCell ref="A45:L4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5"/>
  <sheetViews>
    <sheetView showGridLines="0" zoomScale="157" workbookViewId="0">
      <selection activeCell="A22" sqref="A22:L22"/>
    </sheetView>
  </sheetViews>
  <sheetFormatPr defaultRowHeight="13.9"/>
  <cols>
    <col min="1" max="1" width="40.25" customWidth="1"/>
    <col min="2" max="12" width="13" customWidth="1"/>
  </cols>
  <sheetData>
    <row r="1" spans="1:12" ht="22.15" customHeight="1">
      <c r="A1" s="85" t="s">
        <v>239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30" customHeight="1">
      <c r="A2" s="83" t="s">
        <v>240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18" customHeight="1">
      <c r="A3" s="99" t="s">
        <v>3</v>
      </c>
      <c r="B3" s="100">
        <v>2020</v>
      </c>
      <c r="C3" s="100">
        <v>2021</v>
      </c>
      <c r="D3" s="100">
        <v>2022</v>
      </c>
      <c r="E3" s="100">
        <v>2023</v>
      </c>
      <c r="F3" s="100">
        <v>2024</v>
      </c>
      <c r="G3" s="100">
        <v>2025</v>
      </c>
      <c r="H3" s="100">
        <v>2026</v>
      </c>
      <c r="I3" s="100">
        <v>2027</v>
      </c>
      <c r="J3" s="100">
        <v>2028</v>
      </c>
      <c r="K3" s="100">
        <v>2029</v>
      </c>
      <c r="L3" s="100">
        <v>2030</v>
      </c>
    </row>
    <row r="4" spans="1:12" ht="18" customHeight="1">
      <c r="A4" s="99" t="s">
        <v>191</v>
      </c>
      <c r="B4" s="93" t="s">
        <v>59</v>
      </c>
      <c r="C4" s="93" t="s">
        <v>60</v>
      </c>
      <c r="D4" s="93" t="s">
        <v>61</v>
      </c>
      <c r="E4" s="93" t="s">
        <v>62</v>
      </c>
      <c r="F4" s="93" t="s">
        <v>63</v>
      </c>
      <c r="G4" s="93" t="s">
        <v>64</v>
      </c>
      <c r="H4" s="93" t="s">
        <v>4</v>
      </c>
      <c r="I4" s="93" t="s">
        <v>20</v>
      </c>
      <c r="J4" s="93" t="s">
        <v>21</v>
      </c>
      <c r="K4" s="93" t="s">
        <v>22</v>
      </c>
      <c r="L4" s="93" t="s">
        <v>5</v>
      </c>
    </row>
    <row r="5" spans="1:12" ht="18" customHeight="1">
      <c r="A5" s="90" t="s">
        <v>241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</row>
    <row r="6" spans="1:12">
      <c r="A6" s="19" t="s">
        <v>137</v>
      </c>
      <c r="B6" s="6">
        <f>'Source Data'!B47</f>
        <v>725851</v>
      </c>
      <c r="C6" s="6">
        <f>'Source Data'!C47</f>
        <v>583014</v>
      </c>
      <c r="D6" s="6">
        <f>'Source Data'!D47</f>
        <v>690862</v>
      </c>
      <c r="E6" s="6">
        <f>'Source Data'!E47</f>
        <v>469629</v>
      </c>
      <c r="F6" s="6">
        <f>'Source Data'!F47</f>
        <v>272219</v>
      </c>
      <c r="G6" s="6">
        <f>'Source Data'!G47</f>
        <v>312861</v>
      </c>
      <c r="H6" s="7">
        <f>(G6+G7+Assumptions!B47)*(1-Assumptions!B48)</f>
        <v>310067.28999999998</v>
      </c>
      <c r="I6" s="7">
        <f>(H6+H7+Assumptions!C47)*(1-Assumptions!C48)</f>
        <v>303367.28999999998</v>
      </c>
      <c r="J6" s="7">
        <f>(I6+I7+Assumptions!D47)*(1-Assumptions!D48)</f>
        <v>296667.28999999998</v>
      </c>
      <c r="K6" s="7">
        <f>(J6+J7+Assumptions!E47)*(1-Assumptions!E48)</f>
        <v>289967.28999999998</v>
      </c>
      <c r="L6" s="7">
        <f>(K6+K7+Assumptions!F47)*(1-Assumptions!F48)</f>
        <v>283267.28999999998</v>
      </c>
    </row>
    <row r="7" spans="1:12">
      <c r="A7" s="19" t="s">
        <v>147</v>
      </c>
      <c r="B7" s="6">
        <f>'Source Data'!B57</f>
        <v>216868</v>
      </c>
      <c r="C7" s="6">
        <f>'Source Data'!C57</f>
        <v>196169</v>
      </c>
      <c r="D7" s="6">
        <f>'Source Data'!D57</f>
        <v>410157</v>
      </c>
      <c r="E7" s="6">
        <f>'Source Data'!E57</f>
        <v>278588</v>
      </c>
      <c r="F7" s="6">
        <f>'Source Data'!F57</f>
        <v>361034</v>
      </c>
      <c r="G7" s="6">
        <f>'Source Data'!G57</f>
        <v>159926</v>
      </c>
      <c r="H7" s="7">
        <f>(G6+G7+Assumptions!B47)*Assumptions!B48</f>
        <v>152719.71000000002</v>
      </c>
      <c r="I7" s="7">
        <f>(H6+H7+Assumptions!C47)*Assumptions!C48</f>
        <v>149419.71000000002</v>
      </c>
      <c r="J7" s="7">
        <f>(I6+I7+Assumptions!D47)*Assumptions!D48</f>
        <v>146119.71000000002</v>
      </c>
      <c r="K7" s="7">
        <f>(J6+J7+Assumptions!E47)*Assumptions!E48</f>
        <v>142819.71000000002</v>
      </c>
      <c r="L7" s="7">
        <f>(K6+K7+Assumptions!F47)*Assumptions!F48</f>
        <v>139519.71000000002</v>
      </c>
    </row>
    <row r="8" spans="1:12">
      <c r="A8" s="19" t="s">
        <v>138</v>
      </c>
      <c r="B8" s="6">
        <f>'Source Data'!B48</f>
        <v>67876</v>
      </c>
      <c r="C8" s="6">
        <f>'Source Data'!C48</f>
        <v>46621</v>
      </c>
      <c r="D8" s="6">
        <f>'Source Data'!D48</f>
        <v>34673</v>
      </c>
      <c r="E8" s="6">
        <f>'Source Data'!E48</f>
        <v>35612</v>
      </c>
      <c r="F8" s="6">
        <f>'Source Data'!F48</f>
        <v>60818</v>
      </c>
      <c r="G8" s="6">
        <f>'Source Data'!G48</f>
        <v>87851</v>
      </c>
      <c r="H8" s="7">
        <f>(G8+G9+Assumptions!B49)*(1-Assumptions!B50)</f>
        <v>110915.447</v>
      </c>
      <c r="I8" s="7">
        <f>(H8+H9+Assumptions!C49)*(1-Assumptions!C50)</f>
        <v>136521.37492999999</v>
      </c>
      <c r="J8" s="7">
        <f>(I8+I9+Assumptions!D49)*(1-Assumptions!D50)</f>
        <v>164175.77709440002</v>
      </c>
      <c r="K8" s="7">
        <f>(J8+J9+Assumptions!E49)*(1-Assumptions!E50)</f>
        <v>193765.98741030804</v>
      </c>
      <c r="L8" s="7">
        <f>(K8+K9+Assumptions!F49)*(1-Assumptions!F50)</f>
        <v>225131.61034517054</v>
      </c>
    </row>
    <row r="9" spans="1:12">
      <c r="A9" s="19" t="s">
        <v>148</v>
      </c>
      <c r="B9" s="6">
        <f>'Source Data'!B58</f>
        <v>42249</v>
      </c>
      <c r="C9" s="6">
        <f>'Source Data'!C58</f>
        <v>27721</v>
      </c>
      <c r="D9" s="6">
        <f>'Source Data'!D58</f>
        <v>17893</v>
      </c>
      <c r="E9" s="6">
        <f>'Source Data'!E58</f>
        <v>14565</v>
      </c>
      <c r="F9" s="6">
        <f>'Source Data'!F58</f>
        <v>17900</v>
      </c>
      <c r="G9" s="6">
        <f>'Source Data'!G58</f>
        <v>22812</v>
      </c>
      <c r="H9" s="7">
        <f>(G8+G9+Assumptions!B49)*Assumptions!B50</f>
        <v>29483.852999999996</v>
      </c>
      <c r="I9" s="7">
        <f>(H8+H9+Assumptions!C49)*Assumptions!C50</f>
        <v>36290.49207</v>
      </c>
      <c r="J9" s="7">
        <f>(I8+I9+Assumptions!D49)*Assumptions!D50</f>
        <v>43641.662265600004</v>
      </c>
      <c r="K9" s="7">
        <f>(J8+J9+Assumptions!E49)*Assumptions!E50</f>
        <v>51507.414374892003</v>
      </c>
      <c r="L9" s="7">
        <f>(K8+K9+Assumptions!F49)*Assumptions!F50</f>
        <v>59845.111610741529</v>
      </c>
    </row>
    <row r="10" spans="1:12">
      <c r="A10" s="19" t="s">
        <v>227</v>
      </c>
      <c r="B10" s="6">
        <f>'Source Data'!B49</f>
        <v>419936</v>
      </c>
      <c r="C10" s="6">
        <f>'Source Data'!C49</f>
        <v>450000</v>
      </c>
      <c r="D10" s="6">
        <f>'Source Data'!D49</f>
        <v>370000</v>
      </c>
      <c r="E10" s="6">
        <f>'Source Data'!E49</f>
        <v>370000</v>
      </c>
      <c r="F10" s="6">
        <f>'Source Data'!F49</f>
        <v>170000</v>
      </c>
      <c r="G10" s="6">
        <f>'Source Data'!G49</f>
        <v>0</v>
      </c>
      <c r="H10" s="7">
        <f>(G10+G11+Assumptions!B51)*(1-Assumptions!B52)</f>
        <v>1411.5</v>
      </c>
      <c r="I10" s="7">
        <f>(H10+H11+Assumptions!C51)*(1-Assumptions!C52)</f>
        <v>1411.5</v>
      </c>
      <c r="J10" s="7">
        <f>(I10+I11+Assumptions!D51)*(1-Assumptions!D52)</f>
        <v>1411.5</v>
      </c>
      <c r="K10" s="7">
        <f>(J10+J11+Assumptions!E51)*(1-Assumptions!E52)</f>
        <v>1411.5</v>
      </c>
      <c r="L10" s="7">
        <f>(K10+K11+Assumptions!F51)*(1-Assumptions!F52)</f>
        <v>1411.5</v>
      </c>
    </row>
    <row r="11" spans="1:12">
      <c r="A11" s="19" t="s">
        <v>242</v>
      </c>
      <c r="B11" s="6">
        <f>'Source Data'!B59</f>
        <v>930</v>
      </c>
      <c r="C11" s="6">
        <f>'Source Data'!C59</f>
        <v>171642</v>
      </c>
      <c r="D11" s="6">
        <f>'Source Data'!D59</f>
        <v>260947</v>
      </c>
      <c r="E11" s="6">
        <f>'Source Data'!E59</f>
        <v>4784</v>
      </c>
      <c r="F11" s="6">
        <f>'Source Data'!F59</f>
        <v>204845</v>
      </c>
      <c r="G11" s="6">
        <f>'Source Data'!G59</f>
        <v>171882</v>
      </c>
      <c r="H11" s="7">
        <f>(G10+G11+Assumptions!B51)*Assumptions!B52</f>
        <v>470.5</v>
      </c>
      <c r="I11" s="7">
        <f>(H10+H11+Assumptions!C51)*Assumptions!C52</f>
        <v>470.5</v>
      </c>
      <c r="J11" s="7">
        <f>(I10+I11+Assumptions!D51)*Assumptions!D52</f>
        <v>470.5</v>
      </c>
      <c r="K11" s="7">
        <f>(J10+J11+Assumptions!E51)*Assumptions!E52</f>
        <v>470.5</v>
      </c>
      <c r="L11" s="7">
        <f>(K10+K11+Assumptions!F51)*Assumptions!F52</f>
        <v>470.5</v>
      </c>
    </row>
    <row r="12" spans="1:12">
      <c r="A12" s="20" t="s">
        <v>235</v>
      </c>
      <c r="B12" s="17">
        <f>'Three-Statement Model'!B88</f>
        <v>1473710</v>
      </c>
      <c r="C12" s="17">
        <f>'Three-Statement Model'!C88</f>
        <v>1475167</v>
      </c>
      <c r="D12" s="17">
        <f>'Three-Statement Model'!D88</f>
        <v>1784532</v>
      </c>
      <c r="E12" s="17">
        <f>'Three-Statement Model'!E88</f>
        <v>1173178</v>
      </c>
      <c r="F12" s="17">
        <f>'Three-Statement Model'!F88</f>
        <v>1086816</v>
      </c>
      <c r="G12" s="17">
        <f>'Three-Statement Model'!G88</f>
        <v>755332</v>
      </c>
      <c r="H12" s="18">
        <f t="shared" ref="H12:L12" si="0">SUM(H6:H11)</f>
        <v>605068.30000000005</v>
      </c>
      <c r="I12" s="18">
        <f t="shared" si="0"/>
        <v>627480.86699999997</v>
      </c>
      <c r="J12" s="18">
        <f t="shared" si="0"/>
        <v>652486.43936000008</v>
      </c>
      <c r="K12" s="18">
        <f t="shared" si="0"/>
        <v>679942.40178520011</v>
      </c>
      <c r="L12" s="18">
        <f t="shared" si="0"/>
        <v>709645.72195591219</v>
      </c>
    </row>
    <row r="13" spans="1:12">
      <c r="A13" s="47" t="s">
        <v>127</v>
      </c>
      <c r="B13" s="6">
        <f>'Three-Statement Model'!B44</f>
        <v>480418</v>
      </c>
      <c r="C13" s="6">
        <f>'Three-Statement Model'!C44</f>
        <v>418615</v>
      </c>
      <c r="D13" s="6">
        <f>'Three-Statement Model'!D44</f>
        <v>382718</v>
      </c>
      <c r="E13" s="6">
        <f>'Three-Statement Model'!E44</f>
        <v>218389</v>
      </c>
      <c r="F13" s="6">
        <f>'Three-Statement Model'!F44</f>
        <v>891022</v>
      </c>
      <c r="G13" s="6">
        <f>'Three-Statement Model'!G44</f>
        <v>954814</v>
      </c>
      <c r="H13" s="6">
        <f>'Three-Statement Model'!H56</f>
        <v>23503.402400322491</v>
      </c>
      <c r="I13" s="6">
        <f>'Three-Statement Model'!I56</f>
        <v>779124.81538149854</v>
      </c>
      <c r="J13" s="6">
        <f>'Three-Statement Model'!J56</f>
        <v>2161395.1108479751</v>
      </c>
      <c r="K13" s="6">
        <f>'Three-Statement Model'!K56</f>
        <v>4317797.0546539929</v>
      </c>
      <c r="L13" s="6">
        <f>'Three-Statement Model'!L56</f>
        <v>7358349.609164698</v>
      </c>
    </row>
    <row r="14" spans="1:12">
      <c r="A14" s="20" t="s">
        <v>236</v>
      </c>
      <c r="B14" s="46">
        <f t="shared" ref="B14:L14" si="1">B12-B13</f>
        <v>993292</v>
      </c>
      <c r="C14" s="46">
        <f t="shared" si="1"/>
        <v>1056552</v>
      </c>
      <c r="D14" s="46">
        <f t="shared" si="1"/>
        <v>1401814</v>
      </c>
      <c r="E14" s="46">
        <f t="shared" si="1"/>
        <v>954789</v>
      </c>
      <c r="F14" s="46">
        <f t="shared" si="1"/>
        <v>195794</v>
      </c>
      <c r="G14" s="46">
        <f t="shared" si="1"/>
        <v>-199482</v>
      </c>
      <c r="H14" s="46">
        <f t="shared" si="1"/>
        <v>581564.89759967756</v>
      </c>
      <c r="I14" s="46">
        <f t="shared" si="1"/>
        <v>-151643.94838149857</v>
      </c>
      <c r="J14" s="46">
        <f t="shared" si="1"/>
        <v>-1508908.6714879749</v>
      </c>
      <c r="K14" s="46">
        <f t="shared" si="1"/>
        <v>-3637854.6528687929</v>
      </c>
      <c r="L14" s="46">
        <f t="shared" si="1"/>
        <v>-6648703.8872087859</v>
      </c>
    </row>
    <row r="15" spans="1:12">
      <c r="A15" s="70" t="s">
        <v>243</v>
      </c>
      <c r="B15" s="75">
        <f>B12</f>
        <v>1473710</v>
      </c>
      <c r="C15" s="75">
        <f t="shared" ref="C15:L15" si="2">AVERAGE(B12,C12)</f>
        <v>1474438.5</v>
      </c>
      <c r="D15" s="75">
        <f t="shared" si="2"/>
        <v>1629849.5</v>
      </c>
      <c r="E15" s="75">
        <f t="shared" si="2"/>
        <v>1478855</v>
      </c>
      <c r="F15" s="75">
        <f t="shared" si="2"/>
        <v>1129997</v>
      </c>
      <c r="G15" s="75">
        <f t="shared" si="2"/>
        <v>921074</v>
      </c>
      <c r="H15" s="76">
        <f t="shared" si="2"/>
        <v>680200.15</v>
      </c>
      <c r="I15" s="76">
        <f t="shared" si="2"/>
        <v>616274.58349999995</v>
      </c>
      <c r="J15" s="76">
        <f t="shared" si="2"/>
        <v>639983.65318000002</v>
      </c>
      <c r="K15" s="76">
        <f t="shared" si="2"/>
        <v>666214.42057260009</v>
      </c>
      <c r="L15" s="76">
        <f t="shared" si="2"/>
        <v>694794.06187055609</v>
      </c>
    </row>
    <row r="16" spans="1:12" ht="18" customHeight="1">
      <c r="A16" s="101" t="s">
        <v>244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</row>
    <row r="17" spans="1:12">
      <c r="A17" s="20" t="s">
        <v>245</v>
      </c>
      <c r="B17" s="17">
        <f>-'Source Data'!B18</f>
        <v>52096</v>
      </c>
      <c r="C17" s="17">
        <f>-'Source Data'!C18</f>
        <v>46703</v>
      </c>
      <c r="D17" s="17">
        <f>-'Source Data'!D18</f>
        <v>141293</v>
      </c>
      <c r="E17" s="17">
        <f>-'Source Data'!E18</f>
        <v>147316</v>
      </c>
      <c r="F17" s="17">
        <f>-'Source Data'!F18</f>
        <v>121424</v>
      </c>
      <c r="G17" s="17">
        <f>-'Source Data'!G18</f>
        <v>122945</v>
      </c>
      <c r="H17" s="21">
        <f>H20+H18+H19</f>
        <v>104753.93950000001</v>
      </c>
      <c r="I17" s="21">
        <f t="shared" ref="I17:L17" si="3">I20+I18+I19</f>
        <v>110056.89196964176</v>
      </c>
      <c r="J17" s="21">
        <f t="shared" si="3"/>
        <v>122137.8392144712</v>
      </c>
      <c r="K17" s="21">
        <f t="shared" si="3"/>
        <v>134831.29421715485</v>
      </c>
      <c r="L17" s="21">
        <f t="shared" si="3"/>
        <v>148149.62200661743</v>
      </c>
    </row>
    <row r="18" spans="1:12">
      <c r="A18" s="19" t="s">
        <v>107</v>
      </c>
      <c r="B18" s="71">
        <f>-'Three-Statement Model'!B22</f>
        <v>18139</v>
      </c>
      <c r="C18" s="71">
        <f>-'Three-Statement Model'!C22</f>
        <v>20434</v>
      </c>
      <c r="D18" s="71">
        <f>-'Three-Statement Model'!D22</f>
        <v>15839</v>
      </c>
      <c r="E18" s="71">
        <f>-'Three-Statement Model'!E22</f>
        <v>19600</v>
      </c>
      <c r="F18" s="71">
        <f>-'Three-Statement Model'!F22</f>
        <v>29836</v>
      </c>
      <c r="G18" s="71">
        <f>-'Three-Statement Model'!G22</f>
        <v>54614</v>
      </c>
      <c r="H18" s="39">
        <f>'Three-Statement Model'!G75*Assumptions!B54</f>
        <v>57139.928999999996</v>
      </c>
      <c r="I18" s="39">
        <f>'Three-Statement Model'!H75*Assumptions!C54</f>
        <v>66917.671124641754</v>
      </c>
      <c r="J18" s="39">
        <f>'Three-Statement Model'!I75*Assumptions!D54</f>
        <v>77338.9834918712</v>
      </c>
      <c r="K18" s="39">
        <f>'Three-Statement Model'!J75*Assumptions!E54</f>
        <v>88196.284777072826</v>
      </c>
      <c r="L18" s="39">
        <f>'Three-Statement Model'!K75*Assumptions!F54</f>
        <v>99514.037675678512</v>
      </c>
    </row>
    <row r="19" spans="1:12">
      <c r="A19" s="19" t="s">
        <v>246</v>
      </c>
      <c r="B19" s="72">
        <f>-SUM('Three-Statement Model'!B23,'Three-Statement Model'!B24)</f>
        <v>3578</v>
      </c>
      <c r="C19" s="72">
        <f>-SUM('Three-Statement Model'!C23,'Three-Statement Model'!C24)</f>
        <v>114</v>
      </c>
      <c r="D19" s="72">
        <f>-SUM('Three-Statement Model'!D23,'Three-Statement Model'!D24)</f>
        <v>622</v>
      </c>
      <c r="E19" s="72">
        <f>-SUM('Three-Statement Model'!E23,'Three-Statement Model'!E24)</f>
        <v>431</v>
      </c>
      <c r="F19" s="72">
        <f>-SUM('Three-Statement Model'!F23,'Three-Statement Model'!F24)</f>
        <v>631</v>
      </c>
      <c r="G19" s="72">
        <f>-SUM('Three-Statement Model'!G23,'Three-Statement Model'!G24)</f>
        <v>385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</row>
    <row r="20" spans="1:12">
      <c r="A20" s="19" t="s">
        <v>106</v>
      </c>
      <c r="B20" s="6">
        <f>-'Three-Statement Model'!B21</f>
        <v>30379</v>
      </c>
      <c r="C20" s="6">
        <f>-'Three-Statement Model'!C21</f>
        <v>26155</v>
      </c>
      <c r="D20" s="6">
        <f>-'Three-Statement Model'!D21</f>
        <v>124832</v>
      </c>
      <c r="E20" s="6">
        <f>-'Three-Statement Model'!E21</f>
        <v>127285</v>
      </c>
      <c r="F20" s="6">
        <f>-'Three-Statement Model'!F21</f>
        <v>90957</v>
      </c>
      <c r="G20" s="6">
        <f>-'Three-Statement Model'!G21</f>
        <v>67946</v>
      </c>
      <c r="H20" s="39">
        <f>H15*Assumptions!B53</f>
        <v>47614.010500000004</v>
      </c>
      <c r="I20" s="39">
        <f>I15*Assumptions!C53</f>
        <v>43139.220845000003</v>
      </c>
      <c r="J20" s="39">
        <f>J15*Assumptions!D53</f>
        <v>44798.855722600005</v>
      </c>
      <c r="K20" s="39">
        <f>K15*Assumptions!E53</f>
        <v>46635.009440082009</v>
      </c>
      <c r="L20" s="39">
        <f>L15*Assumptions!F53</f>
        <v>48635.584330938931</v>
      </c>
    </row>
    <row r="21" spans="1:12">
      <c r="A21" s="8" t="s">
        <v>247</v>
      </c>
      <c r="B21" s="48">
        <f>B20/B15</f>
        <v>2.0613960684259455E-2</v>
      </c>
      <c r="C21" s="48">
        <f t="shared" ref="C21:G21" si="4">C20/C15</f>
        <v>1.7738956219604956E-2</v>
      </c>
      <c r="D21" s="48">
        <f t="shared" si="4"/>
        <v>7.6591120836617121E-2</v>
      </c>
      <c r="E21" s="48">
        <f t="shared" si="4"/>
        <v>8.6069966291489025E-2</v>
      </c>
      <c r="F21" s="48">
        <f t="shared" si="4"/>
        <v>8.0493134052568277E-2</v>
      </c>
      <c r="G21" s="48">
        <f t="shared" si="4"/>
        <v>7.376823143417359E-2</v>
      </c>
      <c r="H21" s="10">
        <f>H20/H15</f>
        <v>7.0000000000000007E-2</v>
      </c>
      <c r="I21" s="10">
        <f t="shared" ref="I21:L21" si="5">I20/I15</f>
        <v>7.0000000000000007E-2</v>
      </c>
      <c r="J21" s="10">
        <f t="shared" si="5"/>
        <v>7.0000000000000007E-2</v>
      </c>
      <c r="K21" s="10">
        <f t="shared" si="5"/>
        <v>7.0000000000000007E-2</v>
      </c>
      <c r="L21" s="10">
        <f t="shared" si="5"/>
        <v>7.0000000000000007E-2</v>
      </c>
    </row>
    <row r="22" spans="1:12" ht="18" customHeight="1">
      <c r="A22" s="90" t="s">
        <v>248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</row>
    <row r="23" spans="1:12">
      <c r="A23" s="1" t="s">
        <v>249</v>
      </c>
      <c r="B23" s="12">
        <f>Assumptions!B22</f>
        <v>200</v>
      </c>
      <c r="C23" s="12">
        <f>Assumptions!C22</f>
        <v>300</v>
      </c>
      <c r="D23" s="12">
        <f>Assumptions!D22</f>
        <v>330</v>
      </c>
      <c r="E23" s="12">
        <f>Assumptions!E22</f>
        <v>420</v>
      </c>
      <c r="F23" s="12">
        <f>Assumptions!F22</f>
        <v>400</v>
      </c>
      <c r="G23" s="12">
        <f>Assumptions!G22</f>
        <v>41</v>
      </c>
      <c r="H23" s="73">
        <f>(H25-H14)/Assumptions!$B$10</f>
        <v>46.841096621359135</v>
      </c>
      <c r="I23" s="73">
        <f>(I25-I14)/Assumptions!$B$10</f>
        <v>56.735001301803749</v>
      </c>
      <c r="J23" s="73">
        <f>(J25-J14)/Assumptions!$B$10</f>
        <v>68.047642822422929</v>
      </c>
      <c r="K23" s="73">
        <f>(K25-K14)/Assumptions!$B$10</f>
        <v>80.994943375994524</v>
      </c>
      <c r="L23" s="73">
        <f>(L25-L14)/Assumptions!$B$10</f>
        <v>94.553696798454965</v>
      </c>
    </row>
    <row r="24" spans="1:12">
      <c r="A24" s="1" t="s">
        <v>47</v>
      </c>
      <c r="B24" s="6">
        <f>Assumptions!B24</f>
        <v>98040</v>
      </c>
      <c r="C24" s="6">
        <f>Assumptions!C24</f>
        <v>98040</v>
      </c>
      <c r="D24" s="6">
        <f>Assumptions!D24</f>
        <v>98040</v>
      </c>
      <c r="E24" s="6">
        <f>Assumptions!E24</f>
        <v>98040</v>
      </c>
      <c r="F24" s="6">
        <f>Assumptions!F24</f>
        <v>98040</v>
      </c>
      <c r="G24" s="6">
        <f>Assumptions!G24</f>
        <v>980400</v>
      </c>
      <c r="H24" s="6">
        <f>Assumptions!B10</f>
        <v>980400</v>
      </c>
      <c r="I24" s="6">
        <f>Assumptions!B10</f>
        <v>980400</v>
      </c>
      <c r="J24" s="6">
        <f>Assumptions!B10</f>
        <v>980400</v>
      </c>
      <c r="K24" s="6">
        <f>Assumptions!B10</f>
        <v>980400</v>
      </c>
      <c r="L24" s="6">
        <f>Assumptions!B10</f>
        <v>980400</v>
      </c>
    </row>
    <row r="25" spans="1:12">
      <c r="A25" s="8" t="s">
        <v>250</v>
      </c>
      <c r="B25" s="21">
        <f t="shared" ref="B25:G25" si="6">B23*B24</f>
        <v>19608000</v>
      </c>
      <c r="C25" s="21">
        <f t="shared" si="6"/>
        <v>29412000</v>
      </c>
      <c r="D25" s="21">
        <f t="shared" si="6"/>
        <v>32353200</v>
      </c>
      <c r="E25" s="21">
        <f t="shared" si="6"/>
        <v>41176800</v>
      </c>
      <c r="F25" s="21">
        <f t="shared" si="6"/>
        <v>39216000</v>
      </c>
      <c r="G25" s="21">
        <f t="shared" si="6"/>
        <v>40196400</v>
      </c>
      <c r="H25" s="18">
        <f>Assumptions!$B$4*'Three-Statement Model'!H15</f>
        <v>46504576.025180168</v>
      </c>
      <c r="I25" s="18">
        <f>Assumptions!$B$4*'Three-Statement Model'!I15</f>
        <v>55471351.327906899</v>
      </c>
      <c r="J25" s="18">
        <f>Assumptions!$B$4*'Three-Statement Model'!J15</f>
        <v>65205000.351615474</v>
      </c>
      <c r="K25" s="18">
        <f>Assumptions!$B$4*'Three-Statement Model'!K15</f>
        <v>75769587.83295624</v>
      </c>
      <c r="L25" s="18">
        <f>Assumptions!$B$4*'Three-Statement Model'!L15</f>
        <v>86051740.453996465</v>
      </c>
    </row>
    <row r="26" spans="1:12">
      <c r="A26" s="8" t="s">
        <v>251</v>
      </c>
      <c r="B26" s="21">
        <f>B25+B14</f>
        <v>20601292</v>
      </c>
      <c r="C26" s="21">
        <f t="shared" ref="C26:L26" si="7">C25+C14</f>
        <v>30468552</v>
      </c>
      <c r="D26" s="21">
        <f t="shared" si="7"/>
        <v>33755014</v>
      </c>
      <c r="E26" s="21">
        <f t="shared" si="7"/>
        <v>42131589</v>
      </c>
      <c r="F26" s="21">
        <f t="shared" si="7"/>
        <v>39411794</v>
      </c>
      <c r="G26" s="21">
        <f t="shared" si="7"/>
        <v>39996918</v>
      </c>
      <c r="H26" s="21">
        <f t="shared" si="7"/>
        <v>47086140.922779843</v>
      </c>
      <c r="I26" s="21">
        <f t="shared" si="7"/>
        <v>55319707.379525401</v>
      </c>
      <c r="J26" s="21">
        <f t="shared" si="7"/>
        <v>63696091.680127501</v>
      </c>
      <c r="K26" s="21">
        <f t="shared" si="7"/>
        <v>72131733.180087447</v>
      </c>
      <c r="L26" s="21">
        <f t="shared" si="7"/>
        <v>79403036.566787675</v>
      </c>
    </row>
    <row r="27" spans="1:12">
      <c r="A27" s="1" t="s">
        <v>252</v>
      </c>
      <c r="B27" s="40">
        <f>-'Source Data'!B20/'Source Data'!B19</f>
        <v>0.18388212927756653</v>
      </c>
      <c r="C27" s="40">
        <f>-'Source Data'!C20/'Source Data'!C19</f>
        <v>0.17692600947047707</v>
      </c>
      <c r="D27" s="40">
        <f>-'Source Data'!D20/'Source Data'!D19</f>
        <v>0.1922998991165924</v>
      </c>
      <c r="E27" s="40">
        <f>-'Source Data'!E20/'Source Data'!E19</f>
        <v>0.19186753621804953</v>
      </c>
      <c r="F27" s="40">
        <f>-'Source Data'!F20/'Source Data'!F19</f>
        <v>0.16048167808992492</v>
      </c>
      <c r="G27" s="40">
        <f>-'Source Data'!G20/'Source Data'!G19</f>
        <v>0.19093007407145968</v>
      </c>
      <c r="H27" s="5">
        <f>Assumptions!B15</f>
        <v>0.19</v>
      </c>
      <c r="I27" s="5">
        <f>Assumptions!B15</f>
        <v>0.19</v>
      </c>
      <c r="J27" s="5">
        <f>Assumptions!B15</f>
        <v>0.19</v>
      </c>
      <c r="K27" s="5">
        <f>Assumptions!B15</f>
        <v>0.19</v>
      </c>
      <c r="L27" s="5">
        <f>Assumptions!B15</f>
        <v>0.19</v>
      </c>
    </row>
    <row r="28" spans="1:12">
      <c r="A28" s="1" t="s">
        <v>253</v>
      </c>
      <c r="B28" s="40">
        <f t="shared" ref="B28:L28" si="8">B21*(1-B27)</f>
        <v>1.6823421700793786E-2</v>
      </c>
      <c r="C28" s="40">
        <f t="shared" si="8"/>
        <v>1.4600473483498751E-2</v>
      </c>
      <c r="D28" s="40">
        <f t="shared" si="8"/>
        <v>6.1862656026508908E-2</v>
      </c>
      <c r="E28" s="40">
        <f t="shared" si="8"/>
        <v>6.9555933916770452E-2</v>
      </c>
      <c r="F28" s="40">
        <f t="shared" si="8"/>
        <v>6.7575460825094844E-2</v>
      </c>
      <c r="G28" s="40">
        <f t="shared" si="8"/>
        <v>5.9683657542326247E-2</v>
      </c>
      <c r="H28" s="4">
        <f t="shared" si="8"/>
        <v>5.6700000000000007E-2</v>
      </c>
      <c r="I28" s="4">
        <f t="shared" si="8"/>
        <v>5.6700000000000007E-2</v>
      </c>
      <c r="J28" s="4">
        <f t="shared" si="8"/>
        <v>5.6700000000000007E-2</v>
      </c>
      <c r="K28" s="4">
        <f t="shared" si="8"/>
        <v>5.6700000000000007E-2</v>
      </c>
      <c r="L28" s="4">
        <f t="shared" si="8"/>
        <v>5.6700000000000007E-2</v>
      </c>
    </row>
    <row r="29" spans="1:12">
      <c r="A29" s="1" t="s">
        <v>38</v>
      </c>
      <c r="B29" s="5">
        <f>Assumptions!B23</f>
        <v>1.4999999999999999E-2</v>
      </c>
      <c r="C29" s="5">
        <f>Assumptions!C23</f>
        <v>1.9400000000000001E-2</v>
      </c>
      <c r="D29" s="5">
        <f>Assumptions!D23</f>
        <v>6.0499999999999998E-2</v>
      </c>
      <c r="E29" s="5">
        <f>Assumptions!E23</f>
        <v>5.8099999999999999E-2</v>
      </c>
      <c r="F29" s="5">
        <f>Assumptions!F23</f>
        <v>5.5300000000000002E-2</v>
      </c>
      <c r="G29" s="5">
        <f>Assumptions!G23</f>
        <v>5.5E-2</v>
      </c>
      <c r="H29" s="5">
        <f>Assumptions!B5</f>
        <v>5.8799999999999998E-2</v>
      </c>
      <c r="I29" s="5">
        <f>Assumptions!B5</f>
        <v>5.8799999999999998E-2</v>
      </c>
      <c r="J29" s="5">
        <f>Assumptions!B5</f>
        <v>5.8799999999999998E-2</v>
      </c>
      <c r="K29" s="5">
        <f>Assumptions!B5</f>
        <v>5.8799999999999998E-2</v>
      </c>
      <c r="L29" s="5">
        <f>Assumptions!B5</f>
        <v>5.8799999999999998E-2</v>
      </c>
    </row>
    <row r="30" spans="1:12">
      <c r="A30" s="1" t="s">
        <v>40</v>
      </c>
      <c r="B30" s="22">
        <f>Assumptions!B6</f>
        <v>0.67333333333333334</v>
      </c>
      <c r="C30" s="22">
        <f>Assumptions!B6</f>
        <v>0.67333333333333334</v>
      </c>
      <c r="D30" s="22">
        <f>Assumptions!B6</f>
        <v>0.67333333333333334</v>
      </c>
      <c r="E30" s="22">
        <f>Assumptions!B6</f>
        <v>0.67333333333333334</v>
      </c>
      <c r="F30" s="22">
        <f>Assumptions!B6</f>
        <v>0.67333333333333334</v>
      </c>
      <c r="G30" s="22">
        <f>Assumptions!B6</f>
        <v>0.67333333333333334</v>
      </c>
      <c r="H30" s="22">
        <f>Assumptions!B6</f>
        <v>0.67333333333333334</v>
      </c>
      <c r="I30" s="22">
        <f>Assumptions!B6</f>
        <v>0.67333333333333334</v>
      </c>
      <c r="J30" s="22">
        <f>Assumptions!B6</f>
        <v>0.67333333333333334</v>
      </c>
      <c r="K30" s="22">
        <f>Assumptions!B6</f>
        <v>0.67333333333333334</v>
      </c>
      <c r="L30" s="22">
        <f>Assumptions!B6</f>
        <v>0.67333333333333334</v>
      </c>
    </row>
    <row r="31" spans="1:12">
      <c r="A31" s="1" t="s">
        <v>42</v>
      </c>
      <c r="B31" s="5">
        <f>Assumptions!B7</f>
        <v>5.33E-2</v>
      </c>
      <c r="C31" s="5">
        <f>Assumptions!B7</f>
        <v>5.33E-2</v>
      </c>
      <c r="D31" s="5">
        <f>Assumptions!B7</f>
        <v>5.33E-2</v>
      </c>
      <c r="E31" s="5">
        <f>Assumptions!B7</f>
        <v>5.33E-2</v>
      </c>
      <c r="F31" s="5">
        <f>Assumptions!B7</f>
        <v>5.33E-2</v>
      </c>
      <c r="G31" s="5">
        <f>Assumptions!B7</f>
        <v>5.33E-2</v>
      </c>
      <c r="H31" s="5">
        <f>Assumptions!B7</f>
        <v>5.33E-2</v>
      </c>
      <c r="I31" s="5">
        <f>Assumptions!B7</f>
        <v>5.33E-2</v>
      </c>
      <c r="J31" s="5">
        <f>Assumptions!B7</f>
        <v>5.33E-2</v>
      </c>
      <c r="K31" s="5">
        <f>Assumptions!B7</f>
        <v>5.33E-2</v>
      </c>
      <c r="L31" s="5">
        <f>Assumptions!B7</f>
        <v>5.33E-2</v>
      </c>
    </row>
    <row r="32" spans="1:12">
      <c r="A32" s="8" t="s">
        <v>254</v>
      </c>
      <c r="B32" s="48">
        <f t="shared" ref="B32:L32" si="9">B29+B30*B31</f>
        <v>5.0888666666666665E-2</v>
      </c>
      <c r="C32" s="48">
        <f t="shared" si="9"/>
        <v>5.5288666666666667E-2</v>
      </c>
      <c r="D32" s="48">
        <f t="shared" si="9"/>
        <v>9.6388666666666664E-2</v>
      </c>
      <c r="E32" s="48">
        <f t="shared" si="9"/>
        <v>9.3988666666666665E-2</v>
      </c>
      <c r="F32" s="48">
        <f t="shared" si="9"/>
        <v>9.1188666666666668E-2</v>
      </c>
      <c r="G32" s="48">
        <f t="shared" si="9"/>
        <v>9.0888666666666673E-2</v>
      </c>
      <c r="H32" s="10">
        <f t="shared" si="9"/>
        <v>9.4688666666666671E-2</v>
      </c>
      <c r="I32" s="10">
        <f t="shared" si="9"/>
        <v>9.4688666666666671E-2</v>
      </c>
      <c r="J32" s="10">
        <f t="shared" si="9"/>
        <v>9.4688666666666671E-2</v>
      </c>
      <c r="K32" s="10">
        <f t="shared" si="9"/>
        <v>9.4688666666666671E-2</v>
      </c>
      <c r="L32" s="10">
        <f t="shared" si="9"/>
        <v>9.4688666666666671E-2</v>
      </c>
    </row>
    <row r="33" spans="1:12">
      <c r="A33" s="1" t="s">
        <v>255</v>
      </c>
      <c r="B33" s="5">
        <f>'Three-Statement Model'!B65/('Three-Statement Model'!B65+B12)</f>
        <v>0.6059886537693906</v>
      </c>
      <c r="C33" s="5">
        <f>'Three-Statement Model'!C65/('Three-Statement Model'!C65+C12)</f>
        <v>0.67545629529209694</v>
      </c>
      <c r="D33" s="5">
        <f>'Three-Statement Model'!D65/('Three-Statement Model'!D65+D12)</f>
        <v>0.70199764040468815</v>
      </c>
      <c r="E33" s="5">
        <f>'Three-Statement Model'!E65/('Three-Statement Model'!E65+E12)</f>
        <v>0.82692632532117405</v>
      </c>
      <c r="F33" s="5">
        <f>'Three-Statement Model'!F65/('Three-Statement Model'!F65+F12)</f>
        <v>0.8672874805385109</v>
      </c>
      <c r="G33" s="5">
        <f>'Three-Statement Model'!G65/('Three-Statement Model'!G65+G12)</f>
        <v>0.91987095877608149</v>
      </c>
      <c r="H33" s="5">
        <f>Assumptions!B16</f>
        <v>0.95</v>
      </c>
      <c r="I33" s="5">
        <f>Assumptions!B16</f>
        <v>0.95</v>
      </c>
      <c r="J33" s="5">
        <f>Assumptions!B16</f>
        <v>0.95</v>
      </c>
      <c r="K33" s="5">
        <f>Assumptions!B16</f>
        <v>0.95</v>
      </c>
      <c r="L33" s="5">
        <f>Assumptions!B16</f>
        <v>0.95</v>
      </c>
    </row>
    <row r="34" spans="1:12">
      <c r="A34" s="1" t="s">
        <v>256</v>
      </c>
      <c r="B34" s="5">
        <f>1-B33</f>
        <v>0.3940113462306094</v>
      </c>
      <c r="C34" s="5">
        <f t="shared" ref="C34:G34" si="10">1-C33</f>
        <v>0.32454370470790306</v>
      </c>
      <c r="D34" s="5">
        <f t="shared" si="10"/>
        <v>0.29800235959531185</v>
      </c>
      <c r="E34" s="5">
        <f t="shared" si="10"/>
        <v>0.17307367467882595</v>
      </c>
      <c r="F34" s="5">
        <f t="shared" si="10"/>
        <v>0.1327125194614891</v>
      </c>
      <c r="G34" s="5">
        <f t="shared" si="10"/>
        <v>8.0129041223918507E-2</v>
      </c>
      <c r="H34" s="5">
        <f>Assumptions!B17</f>
        <v>5.0000000000000044E-2</v>
      </c>
      <c r="I34" s="5">
        <f>Assumptions!B17</f>
        <v>5.0000000000000044E-2</v>
      </c>
      <c r="J34" s="5">
        <f>Assumptions!B17</f>
        <v>5.0000000000000044E-2</v>
      </c>
      <c r="K34" s="5">
        <f>Assumptions!B17</f>
        <v>5.0000000000000044E-2</v>
      </c>
      <c r="L34" s="5">
        <f>Assumptions!B17</f>
        <v>5.0000000000000044E-2</v>
      </c>
    </row>
    <row r="35" spans="1:12">
      <c r="A35" s="8" t="s">
        <v>16</v>
      </c>
      <c r="B35" s="48">
        <f t="shared" ref="B35:L35" si="11">B32*B33+B28*B34</f>
        <v>3.7466573637987603E-2</v>
      </c>
      <c r="C35" s="48">
        <f t="shared" si="11"/>
        <v>4.20835697131305E-2</v>
      </c>
      <c r="D35" s="48">
        <f t="shared" si="11"/>
        <v>8.609983402848681E-2</v>
      </c>
      <c r="E35" s="48">
        <f t="shared" si="11"/>
        <v>8.9760003827196427E-2</v>
      </c>
      <c r="F35" s="48">
        <f t="shared" si="11"/>
        <v>8.8054898626868924E-2</v>
      </c>
      <c r="G35" s="48">
        <f t="shared" si="11"/>
        <v>8.8388239204149649E-2</v>
      </c>
      <c r="H35" s="10">
        <f t="shared" si="11"/>
        <v>9.2789233333333332E-2</v>
      </c>
      <c r="I35" s="10">
        <f t="shared" si="11"/>
        <v>9.2789233333333332E-2</v>
      </c>
      <c r="J35" s="10">
        <f t="shared" si="11"/>
        <v>9.2789233333333332E-2</v>
      </c>
      <c r="K35" s="10">
        <f t="shared" si="11"/>
        <v>9.2789233333333332E-2</v>
      </c>
      <c r="L35" s="10">
        <f t="shared" si="11"/>
        <v>9.2789233333333332E-2</v>
      </c>
    </row>
  </sheetData>
  <mergeCells count="5">
    <mergeCell ref="A1:L1"/>
    <mergeCell ref="A2:L2"/>
    <mergeCell ref="A5:L5"/>
    <mergeCell ref="A16:L16"/>
    <mergeCell ref="A22:L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9"/>
  <sheetViews>
    <sheetView showGridLines="0" topLeftCell="A1048545" zoomScale="101" workbookViewId="0">
      <selection activeCell="D42" sqref="D42:D1048576"/>
    </sheetView>
  </sheetViews>
  <sheetFormatPr defaultRowHeight="13.9"/>
  <cols>
    <col min="1" max="1" width="43.125" customWidth="1"/>
    <col min="2" max="7" width="15" customWidth="1"/>
    <col min="9" max="14" width="14" customWidth="1"/>
  </cols>
  <sheetData>
    <row r="1" spans="1:14" ht="22.15" customHeight="1">
      <c r="A1" s="85" t="s">
        <v>257</v>
      </c>
      <c r="B1" s="86"/>
      <c r="C1" s="86"/>
      <c r="D1" s="86"/>
      <c r="E1" s="86"/>
      <c r="F1" s="86"/>
      <c r="G1" s="86"/>
      <c r="I1" s="102" t="s">
        <v>258</v>
      </c>
      <c r="J1" s="102"/>
      <c r="K1" s="102"/>
      <c r="L1" s="102"/>
      <c r="M1" s="102"/>
      <c r="N1" s="102"/>
    </row>
    <row r="2" spans="1:14" ht="30" customHeight="1">
      <c r="A2" s="83" t="s">
        <v>259</v>
      </c>
      <c r="B2" s="84"/>
      <c r="C2" s="84"/>
      <c r="D2" s="84"/>
      <c r="E2" s="84"/>
      <c r="F2" s="84"/>
      <c r="G2" s="84"/>
      <c r="I2" s="103" t="s">
        <v>260</v>
      </c>
      <c r="J2" s="103"/>
      <c r="K2" s="103"/>
      <c r="L2" s="103"/>
      <c r="M2" s="103"/>
      <c r="N2" s="103"/>
    </row>
    <row r="3" spans="1:14" ht="18" customHeight="1">
      <c r="A3" s="99" t="s">
        <v>3</v>
      </c>
      <c r="B3" s="93" t="s">
        <v>4</v>
      </c>
      <c r="C3" s="93" t="s">
        <v>20</v>
      </c>
      <c r="D3" s="93" t="s">
        <v>21</v>
      </c>
      <c r="E3" s="93" t="s">
        <v>22</v>
      </c>
      <c r="F3" s="93" t="s">
        <v>5</v>
      </c>
      <c r="G3" s="93" t="s">
        <v>261</v>
      </c>
      <c r="I3" s="28"/>
      <c r="J3" s="28"/>
      <c r="K3" s="28"/>
      <c r="L3" s="28"/>
      <c r="M3" s="28"/>
      <c r="N3" s="28"/>
    </row>
    <row r="4" spans="1:14" ht="18" customHeight="1">
      <c r="A4" s="90" t="s">
        <v>262</v>
      </c>
      <c r="B4" s="91"/>
      <c r="C4" s="91"/>
      <c r="D4" s="91"/>
      <c r="E4" s="91"/>
      <c r="F4" s="91"/>
      <c r="G4" s="91"/>
      <c r="I4" s="102" t="s">
        <v>263</v>
      </c>
      <c r="J4" s="102"/>
      <c r="K4" s="102"/>
      <c r="L4" s="102"/>
      <c r="M4" s="102"/>
      <c r="N4" s="102"/>
    </row>
    <row r="5" spans="1:14" ht="18" customHeight="1">
      <c r="A5" s="1" t="s">
        <v>16</v>
      </c>
      <c r="B5" s="5">
        <f>'Debt and WACC'!H35</f>
        <v>9.2789233333333332E-2</v>
      </c>
      <c r="C5" s="4"/>
      <c r="D5" s="4"/>
      <c r="E5" s="4"/>
      <c r="F5" s="4"/>
      <c r="G5" s="4"/>
      <c r="I5" s="104" t="s">
        <v>264</v>
      </c>
      <c r="J5" s="27">
        <f>$B$5-1%</f>
        <v>8.2789233333333337E-2</v>
      </c>
      <c r="K5" s="27">
        <f>$B$5-0.5%</f>
        <v>8.7789233333333327E-2</v>
      </c>
      <c r="L5" s="27">
        <f>$B$5</f>
        <v>9.2789233333333332E-2</v>
      </c>
      <c r="M5" s="27">
        <f>$B$5+0.5%</f>
        <v>9.7789233333333336E-2</v>
      </c>
      <c r="N5" s="27">
        <f>$B$5+1%</f>
        <v>0.10278923333333333</v>
      </c>
    </row>
    <row r="6" spans="1:14" ht="18" customHeight="1">
      <c r="A6" s="1" t="s">
        <v>44</v>
      </c>
      <c r="B6" s="5">
        <f>Assumptions!B8</f>
        <v>2.5000000000000001E-2</v>
      </c>
      <c r="C6" s="4"/>
      <c r="D6" s="4"/>
      <c r="E6" s="4"/>
      <c r="F6" s="4"/>
      <c r="G6" s="4"/>
      <c r="I6" s="105">
        <f>$B$6-1%</f>
        <v>1.5000000000000001E-2</v>
      </c>
      <c r="J6" s="29">
        <f t="shared" ref="J6:N10" si="0">IF(J$5&gt;$I6,((SUMPRODUCT($B$14:$F$14,1/(1+J$5)^$B$16:$F$16)+($F$14*(1+$I6)/(J$5-$I6))/(1+J$5)^$F$16)-$B$23)/$B$25,NA())</f>
        <v>37.055642037893172</v>
      </c>
      <c r="K6" s="29">
        <f t="shared" si="0"/>
        <v>34.098548143737368</v>
      </c>
      <c r="L6" s="29">
        <f t="shared" si="0"/>
        <v>31.52843435335544</v>
      </c>
      <c r="M6" s="29">
        <f t="shared" si="0"/>
        <v>29.275037355405658</v>
      </c>
      <c r="N6" s="29">
        <f t="shared" si="0"/>
        <v>27.284105121853351</v>
      </c>
    </row>
    <row r="7" spans="1:14" ht="18" customHeight="1">
      <c r="A7" s="90" t="s">
        <v>265</v>
      </c>
      <c r="B7" s="91"/>
      <c r="C7" s="91"/>
      <c r="D7" s="91"/>
      <c r="E7" s="91"/>
      <c r="F7" s="91"/>
      <c r="G7" s="91"/>
      <c r="I7" s="105">
        <f>$B$6-0.5%</f>
        <v>0.02</v>
      </c>
      <c r="J7" s="29">
        <f t="shared" si="0"/>
        <v>39.756640925958969</v>
      </c>
      <c r="K7" s="29">
        <f t="shared" si="0"/>
        <v>36.385932421358291</v>
      </c>
      <c r="L7" s="29">
        <f t="shared" si="0"/>
        <v>33.485537686402132</v>
      </c>
      <c r="M7" s="29">
        <f t="shared" si="0"/>
        <v>30.964609739663132</v>
      </c>
      <c r="N7" s="29">
        <f t="shared" si="0"/>
        <v>28.75425237280076</v>
      </c>
    </row>
    <row r="8" spans="1:14" ht="18" customHeight="1">
      <c r="A8" s="1" t="s">
        <v>208</v>
      </c>
      <c r="B8" s="6">
        <f>'Three-Statement Model'!H18</f>
        <v>2510408.3245862057</v>
      </c>
      <c r="C8" s="6">
        <f>'Three-Statement Model'!I18</f>
        <v>3015432.0526168509</v>
      </c>
      <c r="D8" s="6">
        <f>'Three-Statement Model'!J18</f>
        <v>3567483.4505325127</v>
      </c>
      <c r="E8" s="6">
        <f>'Three-Statement Model'!K18</f>
        <v>4170600.8311635144</v>
      </c>
      <c r="F8" s="6">
        <f>'Three-Statement Model'!L18</f>
        <v>4752361.5898588225</v>
      </c>
      <c r="G8" s="3"/>
      <c r="I8" s="105">
        <f>$B$6</f>
        <v>2.5000000000000001E-2</v>
      </c>
      <c r="J8" s="29">
        <f t="shared" si="0"/>
        <v>42.925027722164366</v>
      </c>
      <c r="K8" s="29">
        <f t="shared" si="0"/>
        <v>39.037612320408073</v>
      </c>
      <c r="L8" s="29">
        <f t="shared" si="0"/>
        <v>35.731345174491125</v>
      </c>
      <c r="M8" s="29">
        <f t="shared" si="0"/>
        <v>32.886300571510247</v>
      </c>
      <c r="N8" s="29">
        <f t="shared" si="0"/>
        <v>30.41339072032418</v>
      </c>
    </row>
    <row r="9" spans="1:14" ht="18" customHeight="1">
      <c r="A9" s="1" t="s">
        <v>266</v>
      </c>
      <c r="B9" s="42">
        <f>-B8*Assumptions!B15</f>
        <v>-476977.5816713791</v>
      </c>
      <c r="C9" s="42">
        <f>-C8*Assumptions!B15</f>
        <v>-572932.08999720169</v>
      </c>
      <c r="D9" s="42">
        <f>-D8*Assumptions!B15</f>
        <v>-677821.85560117743</v>
      </c>
      <c r="E9" s="42">
        <f>-E8*Assumptions!B15</f>
        <v>-792414.15792106779</v>
      </c>
      <c r="F9" s="42">
        <f>-F8*Assumptions!B15</f>
        <v>-902948.70207317628</v>
      </c>
      <c r="G9" s="2"/>
      <c r="I9" s="105">
        <f>$B$6+0.5%</f>
        <v>3.0000000000000002E-2</v>
      </c>
      <c r="J9" s="29">
        <f t="shared" si="0"/>
        <v>46.693610163606529</v>
      </c>
      <c r="K9" s="29">
        <f t="shared" si="0"/>
        <v>42.148145840815793</v>
      </c>
      <c r="L9" s="29">
        <f t="shared" si="0"/>
        <v>38.334826640882525</v>
      </c>
      <c r="M9" s="29">
        <f t="shared" si="0"/>
        <v>35.091471646067554</v>
      </c>
      <c r="N9" s="29">
        <f t="shared" si="0"/>
        <v>32.300466397524573</v>
      </c>
    </row>
    <row r="10" spans="1:14" ht="18" customHeight="1">
      <c r="A10" s="1" t="s">
        <v>267</v>
      </c>
      <c r="B10" s="7">
        <f>B8+B9</f>
        <v>2033430.7429148266</v>
      </c>
      <c r="C10" s="7">
        <f>C8+C9</f>
        <v>2442499.9626196492</v>
      </c>
      <c r="D10" s="7">
        <f>D8+D9</f>
        <v>2889661.5949313352</v>
      </c>
      <c r="E10" s="7">
        <f>E8+E9</f>
        <v>3378186.6732424465</v>
      </c>
      <c r="F10" s="7">
        <f>F8+F9</f>
        <v>3849412.8877856461</v>
      </c>
      <c r="G10" s="2"/>
      <c r="I10" s="105">
        <f>$B$6+1%</f>
        <v>3.5000000000000003E-2</v>
      </c>
      <c r="J10" s="29">
        <f t="shared" si="0"/>
        <v>51.250776597421201</v>
      </c>
      <c r="K10" s="29">
        <f t="shared" si="0"/>
        <v>45.847915711894956</v>
      </c>
      <c r="L10" s="29">
        <f t="shared" si="0"/>
        <v>41.388821345851461</v>
      </c>
      <c r="M10" s="29">
        <f t="shared" si="0"/>
        <v>37.64784482287871</v>
      </c>
      <c r="N10" s="29">
        <f t="shared" si="0"/>
        <v>34.465916026517753</v>
      </c>
    </row>
    <row r="11" spans="1:14" ht="18" customHeight="1">
      <c r="A11" s="1" t="s">
        <v>212</v>
      </c>
      <c r="B11" s="6">
        <f>'Three-Statement Model'!H32</f>
        <v>589896.74375913909</v>
      </c>
      <c r="C11" s="6">
        <f>'Three-Statement Model'!I32</f>
        <v>682658.03591027565</v>
      </c>
      <c r="D11" s="6">
        <f>'Three-Statement Model'!J32</f>
        <v>779516.57290851907</v>
      </c>
      <c r="E11" s="6">
        <f>'Three-Statement Model'!K32</f>
        <v>880705.02436690137</v>
      </c>
      <c r="F11" s="6">
        <f>'Three-Statement Model'!L32</f>
        <v>984421.10707427445</v>
      </c>
      <c r="G11" s="3"/>
      <c r="I11" s="28"/>
      <c r="J11" s="28"/>
      <c r="K11" s="28"/>
      <c r="L11" s="28"/>
      <c r="M11" s="28"/>
      <c r="N11" s="28"/>
    </row>
    <row r="12" spans="1:14" ht="18" customHeight="1">
      <c r="A12" s="1" t="s">
        <v>215</v>
      </c>
      <c r="B12" s="41">
        <f>'Three-Statement Model'!H35</f>
        <v>-2398913.4246204989</v>
      </c>
      <c r="C12" s="41">
        <f>'Three-Statement Model'!I35</f>
        <v>-2412058.3935496407</v>
      </c>
      <c r="D12" s="41">
        <f>'Three-Statement Model'!J35</f>
        <v>-2338549.718725557</v>
      </c>
      <c r="E12" s="41">
        <f>'Three-Statement Model'!K35</f>
        <v>-2172405.72677169</v>
      </c>
      <c r="F12" s="41">
        <f>'Three-Statement Model'!L35</f>
        <v>-1903214.1403435974</v>
      </c>
      <c r="G12" s="3"/>
      <c r="I12" s="102" t="s">
        <v>268</v>
      </c>
      <c r="J12" s="102"/>
      <c r="K12" s="102"/>
      <c r="L12" s="102"/>
      <c r="M12" s="102"/>
      <c r="N12" s="102"/>
    </row>
    <row r="13" spans="1:14" ht="18" customHeight="1">
      <c r="A13" s="1" t="s">
        <v>269</v>
      </c>
      <c r="B13" s="7">
        <f>'Three-Statement Model'!H90-'Three-Statement Model'!G90</f>
        <v>915756.80576314405</v>
      </c>
      <c r="C13" s="42">
        <f>'Three-Statement Model'!I90-'Three-Statement Model'!H90</f>
        <v>-136942.81356696598</v>
      </c>
      <c r="D13" s="42">
        <f>'Three-Statement Model'!J90-'Three-Statement Model'!I90</f>
        <v>-144080.81367059471</v>
      </c>
      <c r="E13" s="42">
        <f>'Three-Statement Model'!K90-'Three-Statement Model'!J90</f>
        <v>-151025.7104301739</v>
      </c>
      <c r="F13" s="42">
        <f>'Three-Statement Model'!L90-'Three-Statement Model'!K90</f>
        <v>-168078.63976982981</v>
      </c>
      <c r="G13" s="2"/>
      <c r="I13" s="104" t="s">
        <v>264</v>
      </c>
      <c r="J13" s="27">
        <f>$B$5-1%</f>
        <v>8.2789233333333337E-2</v>
      </c>
      <c r="K13" s="27">
        <f>$B$5-0.5%</f>
        <v>8.7789233333333327E-2</v>
      </c>
      <c r="L13" s="27">
        <f>$B$5</f>
        <v>9.2789233333333332E-2</v>
      </c>
      <c r="M13" s="27">
        <f>$B$5+0.5%</f>
        <v>9.7789233333333336E-2</v>
      </c>
      <c r="N13" s="27">
        <f>$B$5+1%</f>
        <v>0.10278923333333333</v>
      </c>
    </row>
    <row r="14" spans="1:14" ht="18" customHeight="1">
      <c r="A14" s="8" t="s">
        <v>265</v>
      </c>
      <c r="B14" s="45">
        <f>SUM(B10:B12)-B13</f>
        <v>-691342.74370967736</v>
      </c>
      <c r="C14" s="18">
        <f t="shared" ref="C14:F14" si="1">SUM(C10:C12)-C13</f>
        <v>850042.41854725033</v>
      </c>
      <c r="D14" s="18">
        <f t="shared" si="1"/>
        <v>1474709.2627848918</v>
      </c>
      <c r="E14" s="18">
        <f t="shared" si="1"/>
        <v>2237511.6812678324</v>
      </c>
      <c r="F14" s="18">
        <f t="shared" si="1"/>
        <v>3098698.4942861535</v>
      </c>
      <c r="G14" s="9"/>
      <c r="I14" s="105">
        <f>$B$6-1%</f>
        <v>1.5000000000000001E-2</v>
      </c>
      <c r="J14" s="29">
        <f t="shared" ref="J14:N18" si="2">IF(J$13&gt;$I14,((SUMPRODUCT($B$14:$F$14,1/(1+J$13)^$B$16:$F$16)+($B$34*(1+$I14)/(J$13-$I14))/(1+J$13)^$F$16)-$B$23)/$B$25,NA())</f>
        <v>46.483218583207758</v>
      </c>
      <c r="K14" s="29">
        <f t="shared" si="2"/>
        <v>42.678592010536448</v>
      </c>
      <c r="L14" s="29">
        <f t="shared" si="2"/>
        <v>39.374987207697146</v>
      </c>
      <c r="M14" s="29">
        <f t="shared" si="2"/>
        <v>36.481327382346691</v>
      </c>
      <c r="N14" s="29">
        <f t="shared" si="2"/>
        <v>33.927293839547545</v>
      </c>
    </row>
    <row r="15" spans="1:14" ht="18" customHeight="1">
      <c r="A15" s="90" t="s">
        <v>270</v>
      </c>
      <c r="B15" s="91"/>
      <c r="C15" s="91"/>
      <c r="D15" s="91"/>
      <c r="E15" s="91"/>
      <c r="F15" s="91"/>
      <c r="G15" s="91"/>
      <c r="I15" s="105">
        <f>$B$6-0.5%</f>
        <v>0.02</v>
      </c>
      <c r="J15" s="29">
        <f t="shared" si="2"/>
        <v>49.985088858341108</v>
      </c>
      <c r="K15" s="29">
        <f t="shared" si="2"/>
        <v>45.644207081686716</v>
      </c>
      <c r="L15" s="29">
        <f t="shared" si="2"/>
        <v>41.912389950675852</v>
      </c>
      <c r="M15" s="29">
        <f t="shared" si="2"/>
        <v>38.671873752528406</v>
      </c>
      <c r="N15" s="29">
        <f t="shared" si="2"/>
        <v>35.833353475821006</v>
      </c>
    </row>
    <row r="16" spans="1:14" ht="18" customHeight="1">
      <c r="A16" s="1" t="s">
        <v>271</v>
      </c>
      <c r="B16" s="2">
        <f>1</f>
        <v>1</v>
      </c>
      <c r="C16" s="2">
        <f>2</f>
        <v>2</v>
      </c>
      <c r="D16" s="2">
        <f>3</f>
        <v>3</v>
      </c>
      <c r="E16" s="2">
        <f>4</f>
        <v>4</v>
      </c>
      <c r="F16" s="2">
        <f>5</f>
        <v>5</v>
      </c>
      <c r="G16" s="2"/>
      <c r="I16" s="105">
        <f>$B$6</f>
        <v>2.5000000000000001E-2</v>
      </c>
      <c r="J16" s="29">
        <f t="shared" si="2"/>
        <v>54.092931919950793</v>
      </c>
      <c r="K16" s="29">
        <f t="shared" si="2"/>
        <v>49.082134827114494</v>
      </c>
      <c r="L16" s="29">
        <f t="shared" si="2"/>
        <v>44.824100326033523</v>
      </c>
      <c r="M16" s="29">
        <f t="shared" si="2"/>
        <v>41.163363857087717</v>
      </c>
      <c r="N16" s="29">
        <f t="shared" si="2"/>
        <v>37.984441833242251</v>
      </c>
    </row>
    <row r="17" spans="1:14" ht="18" customHeight="1">
      <c r="A17" s="1" t="s">
        <v>272</v>
      </c>
      <c r="B17" s="2">
        <f>1/(1+$B$5)^B16</f>
        <v>0.91508954288440558</v>
      </c>
      <c r="C17" s="2">
        <f>1/(1+$B$5)^C16</f>
        <v>0.8373888714963903</v>
      </c>
      <c r="D17" s="2">
        <f>1/(1+$B$5)^D16</f>
        <v>0.76628579963412013</v>
      </c>
      <c r="E17" s="2">
        <f>1/(1+$B$5)^E16</f>
        <v>0.70122012210599816</v>
      </c>
      <c r="F17" s="2">
        <f>1/(1+$B$5)^F16</f>
        <v>0.64167920099932485</v>
      </c>
      <c r="G17" s="2"/>
      <c r="I17" s="105">
        <f>$B$6+0.5%</f>
        <v>3.0000000000000002E-2</v>
      </c>
      <c r="J17" s="29">
        <f t="shared" si="2"/>
        <v>58.978934239087721</v>
      </c>
      <c r="K17" s="29">
        <f t="shared" si="2"/>
        <v>53.114970576529402</v>
      </c>
      <c r="L17" s="29">
        <f t="shared" si="2"/>
        <v>48.199538353535033</v>
      </c>
      <c r="M17" s="29">
        <f t="shared" si="2"/>
        <v>44.022388742916554</v>
      </c>
      <c r="N17" s="29">
        <f t="shared" si="2"/>
        <v>40.431053066632074</v>
      </c>
    </row>
    <row r="18" spans="1:14" ht="18" customHeight="1">
      <c r="A18" s="8" t="s">
        <v>273</v>
      </c>
      <c r="B18" s="45">
        <f>B14*B17</f>
        <v>-632640.51531773945</v>
      </c>
      <c r="C18" s="18">
        <f>C14*C17</f>
        <v>711816.06159134419</v>
      </c>
      <c r="D18" s="18">
        <f>D14*D17</f>
        <v>1130048.7666609646</v>
      </c>
      <c r="E18" s="18">
        <f>E14*E17</f>
        <v>1568988.2143522266</v>
      </c>
      <c r="F18" s="18">
        <f>F14*F17</f>
        <v>1988370.3739513499</v>
      </c>
      <c r="G18" s="9"/>
      <c r="I18" s="105">
        <f>$B$6+1%</f>
        <v>3.5000000000000003E-2</v>
      </c>
      <c r="J18" s="29">
        <f t="shared" si="2"/>
        <v>64.887343066623018</v>
      </c>
      <c r="K18" s="29">
        <f t="shared" si="2"/>
        <v>57.911756755750673</v>
      </c>
      <c r="L18" s="29">
        <f t="shared" si="2"/>
        <v>52.159071000882356</v>
      </c>
      <c r="M18" s="29">
        <f t="shared" si="2"/>
        <v>47.336750433170252</v>
      </c>
      <c r="N18" s="29">
        <f t="shared" si="2"/>
        <v>43.238578727444192</v>
      </c>
    </row>
    <row r="19" spans="1:14" ht="18" customHeight="1">
      <c r="A19" s="1" t="s">
        <v>274</v>
      </c>
      <c r="B19" s="2"/>
      <c r="C19" s="2"/>
      <c r="D19" s="2"/>
      <c r="E19" s="2"/>
      <c r="F19" s="2"/>
      <c r="G19" s="7">
        <f>F14*(1+$B$6)/($B$5-$B$6)</f>
        <v>46853545.916730732</v>
      </c>
    </row>
    <row r="20" spans="1:14" ht="18" customHeight="1">
      <c r="A20" s="8" t="s">
        <v>275</v>
      </c>
      <c r="B20" s="9"/>
      <c r="C20" s="9"/>
      <c r="D20" s="9"/>
      <c r="E20" s="9"/>
      <c r="F20" s="9"/>
      <c r="G20" s="18">
        <f>G19*F17</f>
        <v>30064945.907832954</v>
      </c>
    </row>
    <row r="21" spans="1:14" ht="18" customHeight="1">
      <c r="A21" s="90" t="s">
        <v>276</v>
      </c>
      <c r="B21" s="91"/>
      <c r="C21" s="91"/>
      <c r="D21" s="91"/>
      <c r="E21" s="91"/>
      <c r="F21" s="91"/>
      <c r="G21" s="91"/>
    </row>
    <row r="22" spans="1:14" ht="18" customHeight="1">
      <c r="A22" s="8" t="s">
        <v>251</v>
      </c>
      <c r="B22" s="18">
        <f>SUM(B18:F18)+G20</f>
        <v>34831528.809071101</v>
      </c>
      <c r="C22" s="9"/>
      <c r="D22" s="9"/>
      <c r="E22" s="9"/>
      <c r="F22" s="9"/>
      <c r="G22" s="9"/>
    </row>
    <row r="23" spans="1:14" ht="18" customHeight="1">
      <c r="A23" s="1" t="s">
        <v>277</v>
      </c>
      <c r="B23" s="41">
        <f>'Three-Statement Model'!G89</f>
        <v>-199482</v>
      </c>
      <c r="C23" s="3"/>
      <c r="D23" s="3"/>
      <c r="E23" s="3"/>
      <c r="F23" s="3"/>
      <c r="G23" s="3"/>
    </row>
    <row r="24" spans="1:14" ht="18" customHeight="1">
      <c r="A24" s="8" t="s">
        <v>278</v>
      </c>
      <c r="B24" s="18">
        <f>B22-B23</f>
        <v>35031010.809071101</v>
      </c>
      <c r="C24" s="9"/>
      <c r="D24" s="9"/>
      <c r="E24" s="9"/>
      <c r="F24" s="9"/>
      <c r="G24" s="9"/>
    </row>
    <row r="25" spans="1:14" ht="18" customHeight="1">
      <c r="A25" s="1" t="s">
        <v>47</v>
      </c>
      <c r="B25" s="6">
        <f>Assumptions!B10</f>
        <v>980400</v>
      </c>
      <c r="C25" s="3"/>
      <c r="D25" s="3"/>
      <c r="E25" s="3"/>
      <c r="F25" s="3"/>
      <c r="G25" s="3"/>
    </row>
    <row r="26" spans="1:14" ht="18" customHeight="1">
      <c r="A26" s="8" t="s">
        <v>279</v>
      </c>
      <c r="B26" s="9">
        <f>B24/B25</f>
        <v>35.731345174491125</v>
      </c>
      <c r="C26" s="9"/>
      <c r="D26" s="9"/>
      <c r="E26" s="9"/>
      <c r="F26" s="9"/>
      <c r="G26" s="9"/>
    </row>
    <row r="27" spans="1:14" ht="18" customHeight="1">
      <c r="A27" s="1" t="s">
        <v>45</v>
      </c>
      <c r="B27" s="3">
        <f>Assumptions!B9</f>
        <v>41</v>
      </c>
      <c r="C27" s="3"/>
      <c r="D27" s="3"/>
      <c r="E27" s="3"/>
      <c r="F27" s="3"/>
      <c r="G27" s="3"/>
    </row>
    <row r="28" spans="1:14" ht="18" customHeight="1">
      <c r="A28" s="8" t="s">
        <v>17</v>
      </c>
      <c r="B28" s="77">
        <f>B26/B27-1</f>
        <v>-0.12850377623192377</v>
      </c>
      <c r="C28" s="10"/>
      <c r="D28" s="10"/>
      <c r="E28" s="10"/>
      <c r="F28" s="10"/>
      <c r="G28" s="10"/>
    </row>
    <row r="29" spans="1:14" ht="18" customHeight="1">
      <c r="A29" s="90" t="s">
        <v>280</v>
      </c>
      <c r="B29" s="91"/>
      <c r="C29" s="91"/>
      <c r="D29" s="91"/>
      <c r="E29" s="91"/>
      <c r="F29" s="91"/>
      <c r="G29" s="91"/>
    </row>
    <row r="30" spans="1:14" ht="18" customHeight="1">
      <c r="A30" s="1" t="s">
        <v>281</v>
      </c>
      <c r="B30" s="7">
        <f>F10</f>
        <v>3849412.8877856461</v>
      </c>
      <c r="C30" s="2"/>
      <c r="D30" s="2"/>
      <c r="E30" s="2"/>
      <c r="F30" s="2"/>
      <c r="G30" s="2"/>
    </row>
    <row r="31" spans="1:14" ht="18" customHeight="1">
      <c r="A31" s="1" t="s">
        <v>282</v>
      </c>
      <c r="B31" s="7">
        <f>F11</f>
        <v>984421.10707427445</v>
      </c>
      <c r="C31" s="2"/>
      <c r="D31" s="2"/>
      <c r="E31" s="2"/>
      <c r="F31" s="2"/>
      <c r="G31" s="2"/>
    </row>
    <row r="32" spans="1:14" ht="18" customHeight="1">
      <c r="A32" s="1" t="s">
        <v>283</v>
      </c>
      <c r="B32" s="42">
        <f>-B31</f>
        <v>-984421.10707427445</v>
      </c>
      <c r="C32" s="2"/>
      <c r="D32" s="2"/>
      <c r="E32" s="2"/>
      <c r="F32" s="2"/>
      <c r="G32" s="2"/>
    </row>
    <row r="33" spans="1:7" ht="18" customHeight="1">
      <c r="A33" s="1" t="s">
        <v>284</v>
      </c>
      <c r="B33" s="42">
        <f>F13</f>
        <v>-168078.63976982981</v>
      </c>
      <c r="C33" s="2"/>
      <c r="D33" s="2"/>
      <c r="E33" s="2"/>
      <c r="F33" s="2"/>
      <c r="G33" s="2"/>
    </row>
    <row r="34" spans="1:7" ht="18" customHeight="1">
      <c r="A34" s="8" t="s">
        <v>285</v>
      </c>
      <c r="B34" s="18">
        <f>SUM(B30:B32)-B33</f>
        <v>4017491.5275554759</v>
      </c>
      <c r="C34" s="9"/>
      <c r="D34" s="9"/>
      <c r="E34" s="9"/>
      <c r="F34" s="9"/>
      <c r="G34" s="9"/>
    </row>
    <row r="35" spans="1:7" ht="18" customHeight="1">
      <c r="A35" s="1" t="s">
        <v>274</v>
      </c>
      <c r="B35" s="7">
        <f>B34*(1+$B$6)/($B$5-$B$6)</f>
        <v>60746059.709742926</v>
      </c>
      <c r="C35" s="2"/>
      <c r="D35" s="2"/>
      <c r="E35" s="2"/>
      <c r="F35" s="2"/>
      <c r="G35" s="2"/>
    </row>
    <row r="36" spans="1:7" ht="18" customHeight="1">
      <c r="A36" s="8" t="s">
        <v>275</v>
      </c>
      <c r="B36" s="18">
        <f>B35*F17</f>
        <v>38979483.058405124</v>
      </c>
      <c r="C36" s="9"/>
      <c r="D36" s="9"/>
      <c r="E36" s="9"/>
      <c r="F36" s="9"/>
      <c r="G36" s="9"/>
    </row>
    <row r="37" spans="1:7" ht="18" customHeight="1">
      <c r="A37" s="8" t="s">
        <v>251</v>
      </c>
      <c r="B37" s="18">
        <f>SUM(B18:F18)+B36</f>
        <v>43746065.959643267</v>
      </c>
      <c r="C37" s="9"/>
      <c r="D37" s="9"/>
      <c r="E37" s="9"/>
      <c r="F37" s="9"/>
      <c r="G37" s="9"/>
    </row>
    <row r="38" spans="1:7" ht="18" customHeight="1">
      <c r="A38" s="8" t="s">
        <v>279</v>
      </c>
      <c r="B38" s="9">
        <f>(B37-B23)/B25</f>
        <v>44.824100326033523</v>
      </c>
      <c r="C38" s="9"/>
      <c r="D38" s="9"/>
      <c r="E38" s="9"/>
      <c r="F38" s="9"/>
      <c r="G38" s="9"/>
    </row>
    <row r="39" spans="1:7" ht="18" customHeight="1">
      <c r="A39" s="8" t="s">
        <v>17</v>
      </c>
      <c r="B39" s="10">
        <f>B38/B27-1</f>
        <v>9.3270739659354174E-2</v>
      </c>
      <c r="C39" s="10"/>
      <c r="D39" s="10"/>
      <c r="E39" s="10"/>
      <c r="F39" s="10"/>
      <c r="G39" s="10"/>
    </row>
  </sheetData>
  <mergeCells count="11">
    <mergeCell ref="I1:N1"/>
    <mergeCell ref="I2:N2"/>
    <mergeCell ref="I4:N4"/>
    <mergeCell ref="I12:N12"/>
    <mergeCell ref="A21:G21"/>
    <mergeCell ref="A29:G29"/>
    <mergeCell ref="A1:G1"/>
    <mergeCell ref="A2:G2"/>
    <mergeCell ref="A4:G4"/>
    <mergeCell ref="A7:G7"/>
    <mergeCell ref="A15:G15"/>
  </mergeCells>
  <conditionalFormatting sqref="J6:N1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14:N18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"/>
  <sheetViews>
    <sheetView showGridLines="0" workbookViewId="0">
      <selection activeCell="B9" sqref="B9"/>
    </sheetView>
  </sheetViews>
  <sheetFormatPr defaultRowHeight="13.9"/>
  <cols>
    <col min="1" max="1" width="38" customWidth="1"/>
    <col min="2" max="12" width="13" customWidth="1"/>
  </cols>
  <sheetData>
    <row r="1" spans="1:12" ht="22.15" customHeight="1">
      <c r="A1" s="85" t="s">
        <v>286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</row>
    <row r="2" spans="1:12" ht="30" customHeight="1">
      <c r="A2" s="83" t="s">
        <v>287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ht="18" customHeight="1">
      <c r="A3" s="99" t="s">
        <v>3</v>
      </c>
      <c r="B3" s="100">
        <v>2020</v>
      </c>
      <c r="C3" s="100">
        <v>2021</v>
      </c>
      <c r="D3" s="100">
        <v>2022</v>
      </c>
      <c r="E3" s="100">
        <v>2023</v>
      </c>
      <c r="F3" s="100">
        <v>2024</v>
      </c>
      <c r="G3" s="100">
        <v>2025</v>
      </c>
      <c r="H3" s="100">
        <v>2026</v>
      </c>
      <c r="I3" s="100">
        <v>2027</v>
      </c>
      <c r="J3" s="100">
        <v>2028</v>
      </c>
      <c r="K3" s="100">
        <v>2029</v>
      </c>
      <c r="L3" s="100">
        <v>2030</v>
      </c>
    </row>
    <row r="4" spans="1:12" ht="18" customHeight="1">
      <c r="A4" s="1" t="s">
        <v>233</v>
      </c>
      <c r="B4" s="2">
        <f>'Three-Statement Model'!B86</f>
        <v>0</v>
      </c>
      <c r="C4" s="2">
        <f>'Three-Statement Model'!C86</f>
        <v>0</v>
      </c>
      <c r="D4" s="2">
        <f>'Three-Statement Model'!D86</f>
        <v>0</v>
      </c>
      <c r="E4" s="2">
        <f>'Three-Statement Model'!E86</f>
        <v>0</v>
      </c>
      <c r="F4" s="2">
        <f>'Three-Statement Model'!F86</f>
        <v>0</v>
      </c>
      <c r="G4" s="2">
        <f>'Three-Statement Model'!G86</f>
        <v>0</v>
      </c>
      <c r="H4" s="2">
        <f>'Three-Statement Model'!H86</f>
        <v>0</v>
      </c>
      <c r="I4" s="2">
        <f>'Three-Statement Model'!I86</f>
        <v>0</v>
      </c>
      <c r="J4" s="2">
        <f>'Three-Statement Model'!J86</f>
        <v>0</v>
      </c>
      <c r="K4" s="2">
        <f>'Three-Statement Model'!K86</f>
        <v>0</v>
      </c>
      <c r="L4" s="2">
        <f>'Three-Statement Model'!L86</f>
        <v>0</v>
      </c>
    </row>
    <row r="5" spans="1:12" ht="18" customHeight="1">
      <c r="A5" s="1" t="s">
        <v>234</v>
      </c>
      <c r="B5" s="2">
        <f>'Three-Statement Model'!B87</f>
        <v>0</v>
      </c>
      <c r="C5" s="2">
        <f>'Three-Statement Model'!C87</f>
        <v>0</v>
      </c>
      <c r="D5" s="2">
        <f>'Three-Statement Model'!D87</f>
        <v>0</v>
      </c>
      <c r="E5" s="2">
        <f>'Three-Statement Model'!E87</f>
        <v>0</v>
      </c>
      <c r="F5" s="2">
        <f>'Three-Statement Model'!F87</f>
        <v>0</v>
      </c>
      <c r="G5" s="2">
        <f>'Three-Statement Model'!G87</f>
        <v>0</v>
      </c>
      <c r="H5" s="2">
        <f>'Three-Statement Model'!H87</f>
        <v>0</v>
      </c>
      <c r="I5" s="2">
        <f>'Three-Statement Model'!I87</f>
        <v>0</v>
      </c>
      <c r="J5" s="2">
        <f>'Three-Statement Model'!J87</f>
        <v>0</v>
      </c>
      <c r="K5" s="2">
        <f>'Three-Statement Model'!K87</f>
        <v>0</v>
      </c>
      <c r="L5" s="2">
        <f>'Three-Statement Model'!L87</f>
        <v>0</v>
      </c>
    </row>
    <row r="6" spans="1:12" ht="18" customHeight="1">
      <c r="A6" s="1" t="s">
        <v>288</v>
      </c>
      <c r="B6" s="2">
        <f>'Debt and WACC'!B12-'Three-Statement Model'!B88</f>
        <v>0</v>
      </c>
      <c r="C6" s="2">
        <f>'Debt and WACC'!C12-'Three-Statement Model'!C88</f>
        <v>0</v>
      </c>
      <c r="D6" s="2">
        <f>'Debt and WACC'!D12-'Three-Statement Model'!D88</f>
        <v>0</v>
      </c>
      <c r="E6" s="2">
        <f>'Debt and WACC'!E12-'Three-Statement Model'!E88</f>
        <v>0</v>
      </c>
      <c r="F6" s="2">
        <f>'Debt and WACC'!F12-'Three-Statement Model'!F88</f>
        <v>0</v>
      </c>
      <c r="G6" s="2">
        <f>'Debt and WACC'!G12-'Three-Statement Model'!G88</f>
        <v>0</v>
      </c>
      <c r="H6" s="2">
        <f>'Debt and WACC'!H12-'Three-Statement Model'!H88</f>
        <v>0</v>
      </c>
      <c r="I6" s="2">
        <f>'Debt and WACC'!I12-'Three-Statement Model'!I88</f>
        <v>0</v>
      </c>
      <c r="J6" s="2">
        <f>'Debt and WACC'!J12-'Three-Statement Model'!J88</f>
        <v>0</v>
      </c>
      <c r="K6" s="2">
        <f>'Debt and WACC'!K12-'Three-Statement Model'!K88</f>
        <v>0</v>
      </c>
      <c r="L6" s="2">
        <f>'Debt and WACC'!L12-'Three-Statement Model'!L88</f>
        <v>0</v>
      </c>
    </row>
    <row r="7" spans="1:12" ht="18" customHeight="1">
      <c r="A7" s="1" t="s">
        <v>289</v>
      </c>
      <c r="B7" s="2">
        <f>'Debt and WACC'!B13-'Three-Statement Model'!B56</f>
        <v>0</v>
      </c>
      <c r="C7" s="2">
        <f>'Debt and WACC'!C13-'Three-Statement Model'!C56</f>
        <v>0</v>
      </c>
      <c r="D7" s="2">
        <f>'Debt and WACC'!D13-'Three-Statement Model'!D56</f>
        <v>0</v>
      </c>
      <c r="E7" s="2">
        <f>'Debt and WACC'!E13-'Three-Statement Model'!E56</f>
        <v>0</v>
      </c>
      <c r="F7" s="2">
        <f>'Debt and WACC'!F13-'Three-Statement Model'!F56</f>
        <v>0</v>
      </c>
      <c r="G7" s="2">
        <f>'Debt and WACC'!G13-'Three-Statement Model'!G56</f>
        <v>0</v>
      </c>
      <c r="H7" s="2">
        <f>'Debt and WACC'!H13-'Three-Statement Model'!H56</f>
        <v>0</v>
      </c>
      <c r="I7" s="2">
        <f>'Debt and WACC'!I13-'Three-Statement Model'!I56</f>
        <v>0</v>
      </c>
      <c r="J7" s="2">
        <f>'Debt and WACC'!J13-'Three-Statement Model'!J56</f>
        <v>0</v>
      </c>
      <c r="K7" s="2">
        <f>'Debt and WACC'!K13-'Three-Statement Model'!K56</f>
        <v>0</v>
      </c>
      <c r="L7" s="2">
        <f>'Debt and WACC'!L13-'Three-Statement Model'!L56</f>
        <v>0</v>
      </c>
    </row>
    <row r="8" spans="1:12" ht="18" customHeight="1">
      <c r="A8" s="1" t="s">
        <v>290</v>
      </c>
      <c r="B8" s="2"/>
      <c r="C8" s="2"/>
      <c r="D8" s="2"/>
      <c r="E8" s="2"/>
      <c r="F8" s="2"/>
      <c r="G8" s="2"/>
      <c r="H8" s="2">
        <f>'DCF Valuation'!B5-'Debt and WACC'!H35</f>
        <v>0</v>
      </c>
      <c r="I8" s="2"/>
      <c r="J8" s="2"/>
      <c r="K8" s="2"/>
      <c r="L8" s="2"/>
    </row>
    <row r="9" spans="1:12" ht="18" customHeight="1">
      <c r="A9" s="1" t="s">
        <v>291</v>
      </c>
      <c r="B9" s="2"/>
      <c r="C9" s="2"/>
      <c r="D9" s="2"/>
      <c r="E9" s="2"/>
      <c r="F9" s="2"/>
      <c r="G9" s="2"/>
      <c r="H9" s="2">
        <f>IF(ABS('Three-Statement Model'!H35)&gt;ABS('Three-Statement Model'!G35),0,1)</f>
        <v>0</v>
      </c>
      <c r="I9" s="2">
        <f>IF(ABS('Three-Statement Model'!I35)&gt;ABS('Three-Statement Model'!H35),0,1)</f>
        <v>0</v>
      </c>
      <c r="J9" s="2">
        <f>IF(ABS('Three-Statement Model'!J35)&gt;ABS('Three-Statement Model'!I35),0,1)</f>
        <v>1</v>
      </c>
      <c r="K9" s="2">
        <f>IF(ABS('Three-Statement Model'!K35)&gt;ABS('Three-Statement Model'!J35),0,1)</f>
        <v>1</v>
      </c>
      <c r="L9" s="2">
        <f>IF(ABS('Three-Statement Model'!L35)&gt;ABS('Three-Statement Model'!K35),0,1)</f>
        <v>1</v>
      </c>
    </row>
    <row r="10" spans="1:12" ht="18" customHeight="1">
      <c r="A10" s="1" t="s">
        <v>292</v>
      </c>
      <c r="B10" s="2"/>
      <c r="C10" s="2"/>
      <c r="D10" s="2"/>
      <c r="E10" s="2"/>
      <c r="F10" s="2"/>
      <c r="G10" s="2"/>
      <c r="H10" s="2">
        <f>'DCF Valuation'!B32+'DCF Valuation'!B31</f>
        <v>0</v>
      </c>
      <c r="I10" s="2"/>
      <c r="J10" s="2"/>
      <c r="K10" s="2"/>
      <c r="L10" s="2"/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cp:keywords/>
  <dc:description/>
  <cp:lastModifiedBy/>
  <cp:revision/>
  <dcterms:created xsi:type="dcterms:W3CDTF">2026-05-24T15:56:44Z</dcterms:created>
  <dcterms:modified xsi:type="dcterms:W3CDTF">2026-05-31T17:08:27Z</dcterms:modified>
  <cp:category/>
  <cp:contentStatus/>
</cp:coreProperties>
</file>