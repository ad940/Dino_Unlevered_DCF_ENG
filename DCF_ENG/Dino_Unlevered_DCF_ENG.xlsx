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CF\"/>
    </mc:Choice>
  </mc:AlternateContent>
  <xr:revisionPtr revIDLastSave="0" documentId="13_ncr:1_{001462E3-D4D0-4747-B947-C61345DFA1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shboard" sheetId="1" r:id="rId1"/>
    <sheet name="Assumptions" sheetId="2" r:id="rId2"/>
    <sheet name="Source Data" sheetId="3" r:id="rId3"/>
    <sheet name="Operating Drivers" sheetId="4" r:id="rId4"/>
    <sheet name="3-Statement Model" sheetId="5" r:id="rId5"/>
    <sheet name="Debt &amp; WACC" sheetId="6" r:id="rId6"/>
    <sheet name="DCF Valuation" sheetId="7" r:id="rId7"/>
    <sheet name="Check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F16" i="7"/>
  <c r="E16" i="7"/>
  <c r="D16" i="7"/>
  <c r="C16" i="7"/>
  <c r="B16" i="7"/>
  <c r="I8" i="7"/>
  <c r="I6" i="7"/>
  <c r="B6" i="7"/>
  <c r="I16" i="7" s="1"/>
  <c r="L36" i="6"/>
  <c r="K36" i="6"/>
  <c r="J36" i="6"/>
  <c r="I36" i="6"/>
  <c r="H36" i="6"/>
  <c r="L34" i="6"/>
  <c r="K34" i="6"/>
  <c r="J34" i="6"/>
  <c r="I34" i="6"/>
  <c r="H34" i="6"/>
  <c r="G34" i="6"/>
  <c r="F34" i="6"/>
  <c r="E34" i="6"/>
  <c r="D34" i="6"/>
  <c r="C34" i="6"/>
  <c r="B34" i="6"/>
  <c r="L33" i="6"/>
  <c r="K33" i="6"/>
  <c r="J33" i="6"/>
  <c r="I33" i="6"/>
  <c r="H33" i="6"/>
  <c r="G33" i="6"/>
  <c r="F33" i="6"/>
  <c r="E33" i="6"/>
  <c r="D33" i="6"/>
  <c r="C33" i="6"/>
  <c r="B33" i="6"/>
  <c r="L32" i="6"/>
  <c r="K32" i="6"/>
  <c r="J32" i="6"/>
  <c r="I32" i="6"/>
  <c r="H32" i="6"/>
  <c r="L30" i="6"/>
  <c r="K30" i="6"/>
  <c r="J30" i="6"/>
  <c r="I30" i="6"/>
  <c r="H30" i="6"/>
  <c r="G30" i="6"/>
  <c r="F30" i="6"/>
  <c r="E30" i="6"/>
  <c r="D30" i="6"/>
  <c r="C30" i="6"/>
  <c r="B30" i="6"/>
  <c r="H23" i="6"/>
  <c r="I23" i="6" s="1"/>
  <c r="J23" i="6" s="1"/>
  <c r="G19" i="6"/>
  <c r="F19" i="6"/>
  <c r="E19" i="6"/>
  <c r="D19" i="6"/>
  <c r="C19" i="6"/>
  <c r="B19" i="6"/>
  <c r="G17" i="6"/>
  <c r="G20" i="6" s="1"/>
  <c r="F17" i="6"/>
  <c r="F20" i="6" s="1"/>
  <c r="E17" i="6"/>
  <c r="E20" i="6" s="1"/>
  <c r="D17" i="6"/>
  <c r="D20" i="6" s="1"/>
  <c r="C17" i="6"/>
  <c r="C20" i="6" s="1"/>
  <c r="B17" i="6"/>
  <c r="B20" i="6" s="1"/>
  <c r="E12" i="6"/>
  <c r="H11" i="6"/>
  <c r="H78" i="5" s="1"/>
  <c r="G11" i="6"/>
  <c r="F11" i="6"/>
  <c r="E11" i="6"/>
  <c r="D11" i="6"/>
  <c r="C11" i="6"/>
  <c r="C78" i="5" s="1"/>
  <c r="B11" i="6"/>
  <c r="G10" i="6"/>
  <c r="H10" i="6" s="1"/>
  <c r="I10" i="6" s="1"/>
  <c r="I69" i="5" s="1"/>
  <c r="F10" i="6"/>
  <c r="F69" i="5" s="1"/>
  <c r="E10" i="6"/>
  <c r="D10" i="6"/>
  <c r="C10" i="6"/>
  <c r="C69" i="5" s="1"/>
  <c r="C88" i="5" s="1"/>
  <c r="C89" i="5" s="1"/>
  <c r="B10" i="6"/>
  <c r="G9" i="6"/>
  <c r="F9" i="6"/>
  <c r="F77" i="5" s="1"/>
  <c r="E9" i="6"/>
  <c r="D9" i="6"/>
  <c r="D77" i="5" s="1"/>
  <c r="C9" i="6"/>
  <c r="B9" i="6"/>
  <c r="G8" i="6"/>
  <c r="F8" i="6"/>
  <c r="E8" i="6"/>
  <c r="D8" i="6"/>
  <c r="D68" i="5" s="1"/>
  <c r="C8" i="6"/>
  <c r="B8" i="6"/>
  <c r="G7" i="6"/>
  <c r="F7" i="6"/>
  <c r="E7" i="6"/>
  <c r="D7" i="6"/>
  <c r="D76" i="5" s="1"/>
  <c r="C7" i="6"/>
  <c r="B7" i="6"/>
  <c r="G6" i="6"/>
  <c r="F6" i="6"/>
  <c r="E6" i="6"/>
  <c r="D6" i="6"/>
  <c r="C6" i="6"/>
  <c r="B6" i="6"/>
  <c r="B12" i="6" s="1"/>
  <c r="F88" i="5"/>
  <c r="H81" i="5"/>
  <c r="I81" i="5" s="1"/>
  <c r="J81" i="5" s="1"/>
  <c r="K81" i="5" s="1"/>
  <c r="L81" i="5" s="1"/>
  <c r="G81" i="5"/>
  <c r="F81" i="5"/>
  <c r="E81" i="5"/>
  <c r="D81" i="5"/>
  <c r="C81" i="5"/>
  <c r="B81" i="5"/>
  <c r="H80" i="5"/>
  <c r="I80" i="5" s="1"/>
  <c r="J80" i="5" s="1"/>
  <c r="K80" i="5" s="1"/>
  <c r="L80" i="5" s="1"/>
  <c r="G80" i="5"/>
  <c r="F80" i="5"/>
  <c r="E80" i="5"/>
  <c r="D80" i="5"/>
  <c r="C80" i="5"/>
  <c r="B80" i="5"/>
  <c r="G79" i="5"/>
  <c r="H79" i="5" s="1"/>
  <c r="I79" i="5" s="1"/>
  <c r="J79" i="5" s="1"/>
  <c r="K79" i="5" s="1"/>
  <c r="L79" i="5" s="1"/>
  <c r="F79" i="5"/>
  <c r="E79" i="5"/>
  <c r="D79" i="5"/>
  <c r="C79" i="5"/>
  <c r="B79" i="5"/>
  <c r="G78" i="5"/>
  <c r="F78" i="5"/>
  <c r="E78" i="5"/>
  <c r="D78" i="5"/>
  <c r="B78" i="5"/>
  <c r="G77" i="5"/>
  <c r="E77" i="5"/>
  <c r="C77" i="5"/>
  <c r="B77" i="5"/>
  <c r="G76" i="5"/>
  <c r="F76" i="5"/>
  <c r="E76" i="5"/>
  <c r="C76" i="5"/>
  <c r="B76" i="5"/>
  <c r="B82" i="5" s="1"/>
  <c r="G75" i="5"/>
  <c r="F75" i="5"/>
  <c r="E75" i="5"/>
  <c r="E90" i="5" s="1"/>
  <c r="E19" i="4" s="1"/>
  <c r="D75" i="5"/>
  <c r="C75" i="5"/>
  <c r="B75" i="5"/>
  <c r="K73" i="5"/>
  <c r="L73" i="5" s="1"/>
  <c r="H73" i="5"/>
  <c r="I73" i="5" s="1"/>
  <c r="J73" i="5" s="1"/>
  <c r="G73" i="5"/>
  <c r="F73" i="5"/>
  <c r="E73" i="5"/>
  <c r="D73" i="5"/>
  <c r="C73" i="5"/>
  <c r="B73" i="5"/>
  <c r="K72" i="5"/>
  <c r="L72" i="5" s="1"/>
  <c r="H72" i="5"/>
  <c r="I72" i="5" s="1"/>
  <c r="J72" i="5" s="1"/>
  <c r="G72" i="5"/>
  <c r="F72" i="5"/>
  <c r="E72" i="5"/>
  <c r="D72" i="5"/>
  <c r="C72" i="5"/>
  <c r="B72" i="5"/>
  <c r="G71" i="5"/>
  <c r="H71" i="5" s="1"/>
  <c r="I71" i="5" s="1"/>
  <c r="J71" i="5" s="1"/>
  <c r="K71" i="5" s="1"/>
  <c r="L71" i="5" s="1"/>
  <c r="F71" i="5"/>
  <c r="E71" i="5"/>
  <c r="D71" i="5"/>
  <c r="C71" i="5"/>
  <c r="B71" i="5"/>
  <c r="L70" i="5"/>
  <c r="I70" i="5"/>
  <c r="J70" i="5" s="1"/>
  <c r="K70" i="5" s="1"/>
  <c r="G70" i="5"/>
  <c r="H70" i="5" s="1"/>
  <c r="F70" i="5"/>
  <c r="E70" i="5"/>
  <c r="D70" i="5"/>
  <c r="C70" i="5"/>
  <c r="B70" i="5"/>
  <c r="G69" i="5"/>
  <c r="E69" i="5"/>
  <c r="D69" i="5"/>
  <c r="B69" i="5"/>
  <c r="G68" i="5"/>
  <c r="F68" i="5"/>
  <c r="E68" i="5"/>
  <c r="C68" i="5"/>
  <c r="B68" i="5"/>
  <c r="G67" i="5"/>
  <c r="F67" i="5"/>
  <c r="F74" i="5" s="1"/>
  <c r="E67" i="5"/>
  <c r="E88" i="5" s="1"/>
  <c r="D67" i="5"/>
  <c r="C67" i="5"/>
  <c r="B67" i="5"/>
  <c r="B88" i="5" s="1"/>
  <c r="E65" i="5"/>
  <c r="B65" i="5"/>
  <c r="K64" i="5"/>
  <c r="L64" i="5" s="1"/>
  <c r="H64" i="5"/>
  <c r="I64" i="5" s="1"/>
  <c r="J64" i="5" s="1"/>
  <c r="G64" i="5"/>
  <c r="F64" i="5"/>
  <c r="E64" i="5"/>
  <c r="D64" i="5"/>
  <c r="C64" i="5"/>
  <c r="B64" i="5"/>
  <c r="K63" i="5"/>
  <c r="L63" i="5" s="1"/>
  <c r="H63" i="5"/>
  <c r="I63" i="5" s="1"/>
  <c r="J63" i="5" s="1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H61" i="5" s="1"/>
  <c r="I61" i="5" s="1"/>
  <c r="J61" i="5" s="1"/>
  <c r="K61" i="5" s="1"/>
  <c r="L61" i="5" s="1"/>
  <c r="F61" i="5"/>
  <c r="E61" i="5"/>
  <c r="D61" i="5"/>
  <c r="C61" i="5"/>
  <c r="B61" i="5"/>
  <c r="G60" i="5"/>
  <c r="F60" i="5"/>
  <c r="F65" i="5" s="1"/>
  <c r="E60" i="5"/>
  <c r="D60" i="5"/>
  <c r="D65" i="5" s="1"/>
  <c r="C60" i="5"/>
  <c r="C65" i="5" s="1"/>
  <c r="B60" i="5"/>
  <c r="B56" i="5"/>
  <c r="B13" i="6" s="1"/>
  <c r="H55" i="5"/>
  <c r="I55" i="5" s="1"/>
  <c r="J55" i="5" s="1"/>
  <c r="K55" i="5" s="1"/>
  <c r="L55" i="5" s="1"/>
  <c r="G55" i="5"/>
  <c r="F55" i="5"/>
  <c r="E55" i="5"/>
  <c r="D55" i="5"/>
  <c r="C55" i="5"/>
  <c r="B55" i="5"/>
  <c r="H54" i="5"/>
  <c r="I54" i="5" s="1"/>
  <c r="J54" i="5" s="1"/>
  <c r="K54" i="5" s="1"/>
  <c r="L54" i="5" s="1"/>
  <c r="G54" i="5"/>
  <c r="F54" i="5"/>
  <c r="E54" i="5"/>
  <c r="D54" i="5"/>
  <c r="C54" i="5"/>
  <c r="B54" i="5"/>
  <c r="H53" i="5"/>
  <c r="I53" i="5" s="1"/>
  <c r="J53" i="5" s="1"/>
  <c r="K53" i="5" s="1"/>
  <c r="L53" i="5" s="1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B57" i="5" s="1"/>
  <c r="F50" i="5"/>
  <c r="E50" i="5"/>
  <c r="I49" i="5"/>
  <c r="J49" i="5" s="1"/>
  <c r="K49" i="5" s="1"/>
  <c r="L49" i="5" s="1"/>
  <c r="H49" i="5"/>
  <c r="G49" i="5"/>
  <c r="F49" i="5"/>
  <c r="E49" i="5"/>
  <c r="D49" i="5"/>
  <c r="C49" i="5"/>
  <c r="B49" i="5"/>
  <c r="H48" i="5"/>
  <c r="I48" i="5" s="1"/>
  <c r="J48" i="5" s="1"/>
  <c r="K48" i="5" s="1"/>
  <c r="L48" i="5" s="1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D50" i="5" s="1"/>
  <c r="C46" i="5"/>
  <c r="C50" i="5" s="1"/>
  <c r="B46" i="5"/>
  <c r="B50" i="5" s="1"/>
  <c r="G44" i="5"/>
  <c r="F44" i="5"/>
  <c r="F56" i="5" s="1"/>
  <c r="F13" i="6" s="1"/>
  <c r="E44" i="5"/>
  <c r="D44" i="5"/>
  <c r="C44" i="5"/>
  <c r="C56" i="5" s="1"/>
  <c r="C13" i="6" s="1"/>
  <c r="B44" i="5"/>
  <c r="H43" i="5"/>
  <c r="G43" i="5"/>
  <c r="F43" i="5"/>
  <c r="E43" i="5"/>
  <c r="D43" i="5"/>
  <c r="C43" i="5"/>
  <c r="B43" i="5"/>
  <c r="E41" i="5"/>
  <c r="B41" i="5"/>
  <c r="L40" i="5"/>
  <c r="K40" i="5"/>
  <c r="J40" i="5"/>
  <c r="I40" i="5"/>
  <c r="H40" i="5"/>
  <c r="E40" i="5"/>
  <c r="B40" i="5"/>
  <c r="L39" i="5"/>
  <c r="K39" i="5"/>
  <c r="J39" i="5"/>
  <c r="I39" i="5"/>
  <c r="H39" i="5"/>
  <c r="G39" i="5"/>
  <c r="F39" i="5"/>
  <c r="E39" i="5"/>
  <c r="D39" i="5"/>
  <c r="C39" i="5"/>
  <c r="B39" i="5"/>
  <c r="L38" i="5"/>
  <c r="K38" i="5"/>
  <c r="J38" i="5"/>
  <c r="I38" i="5"/>
  <c r="H38" i="5"/>
  <c r="G38" i="5"/>
  <c r="G40" i="5" s="1"/>
  <c r="F38" i="5"/>
  <c r="F40" i="5" s="1"/>
  <c r="F41" i="5" s="1"/>
  <c r="E38" i="5"/>
  <c r="D38" i="5"/>
  <c r="C38" i="5"/>
  <c r="B38" i="5"/>
  <c r="F37" i="5"/>
  <c r="B37" i="5"/>
  <c r="L36" i="5"/>
  <c r="K36" i="5"/>
  <c r="J36" i="5"/>
  <c r="I36" i="5"/>
  <c r="H36" i="5"/>
  <c r="F36" i="5"/>
  <c r="E36" i="5"/>
  <c r="B36" i="5"/>
  <c r="G35" i="5"/>
  <c r="F35" i="5"/>
  <c r="E35" i="5"/>
  <c r="E37" i="5" s="1"/>
  <c r="D35" i="5"/>
  <c r="C35" i="5"/>
  <c r="C36" i="5" s="1"/>
  <c r="C37" i="5" s="1"/>
  <c r="B35" i="5"/>
  <c r="F32" i="5"/>
  <c r="E32" i="5"/>
  <c r="G27" i="5"/>
  <c r="F27" i="5"/>
  <c r="E27" i="5"/>
  <c r="D27" i="5"/>
  <c r="C27" i="5"/>
  <c r="B27" i="5"/>
  <c r="G25" i="5"/>
  <c r="F25" i="5"/>
  <c r="E25" i="5"/>
  <c r="D25" i="5"/>
  <c r="C25" i="5"/>
  <c r="B25" i="5"/>
  <c r="L24" i="5"/>
  <c r="K24" i="5"/>
  <c r="J24" i="5"/>
  <c r="I24" i="5"/>
  <c r="H24" i="5"/>
  <c r="L23" i="5"/>
  <c r="K23" i="5"/>
  <c r="J23" i="5"/>
  <c r="I23" i="5"/>
  <c r="H23" i="5"/>
  <c r="H20" i="5"/>
  <c r="G20" i="5"/>
  <c r="F20" i="5"/>
  <c r="E20" i="5"/>
  <c r="D20" i="5"/>
  <c r="C20" i="5"/>
  <c r="B20" i="5"/>
  <c r="G17" i="5"/>
  <c r="G32" i="5" s="1"/>
  <c r="F17" i="5"/>
  <c r="E17" i="5"/>
  <c r="D17" i="5"/>
  <c r="D32" i="5" s="1"/>
  <c r="C17" i="5"/>
  <c r="C32" i="5" s="1"/>
  <c r="B17" i="5"/>
  <c r="B32" i="5" s="1"/>
  <c r="H14" i="5"/>
  <c r="I14" i="5" s="1"/>
  <c r="J14" i="5" s="1"/>
  <c r="K14" i="5" s="1"/>
  <c r="L14" i="5" s="1"/>
  <c r="G14" i="5"/>
  <c r="F14" i="5"/>
  <c r="E14" i="5"/>
  <c r="D14" i="5"/>
  <c r="C14" i="5"/>
  <c r="B14" i="5"/>
  <c r="G13" i="5"/>
  <c r="H13" i="5" s="1"/>
  <c r="I13" i="5" s="1"/>
  <c r="J13" i="5" s="1"/>
  <c r="K13" i="5" s="1"/>
  <c r="L13" i="5" s="1"/>
  <c r="F13" i="5"/>
  <c r="E13" i="5"/>
  <c r="D13" i="5"/>
  <c r="C13" i="5"/>
  <c r="B13" i="5"/>
  <c r="G12" i="5"/>
  <c r="H12" i="5" s="1"/>
  <c r="I12" i="5" s="1"/>
  <c r="J12" i="5" s="1"/>
  <c r="K12" i="5" s="1"/>
  <c r="L12" i="5" s="1"/>
  <c r="F12" i="5"/>
  <c r="E12" i="5"/>
  <c r="D12" i="5"/>
  <c r="C12" i="5"/>
  <c r="B12" i="5"/>
  <c r="G11" i="5"/>
  <c r="F11" i="5"/>
  <c r="E11" i="5"/>
  <c r="D11" i="5"/>
  <c r="C11" i="5"/>
  <c r="B11" i="5"/>
  <c r="G8" i="5"/>
  <c r="F8" i="5"/>
  <c r="F15" i="5" s="1"/>
  <c r="E8" i="5"/>
  <c r="E15" i="5" s="1"/>
  <c r="D8" i="5"/>
  <c r="C8" i="5"/>
  <c r="B8" i="5"/>
  <c r="E7" i="5"/>
  <c r="G6" i="5"/>
  <c r="G15" i="5" s="1"/>
  <c r="F6" i="5"/>
  <c r="F9" i="5" s="1"/>
  <c r="F10" i="5" s="1"/>
  <c r="E6" i="5"/>
  <c r="F7" i="5" s="1"/>
  <c r="D6" i="5"/>
  <c r="D15" i="5" s="1"/>
  <c r="C6" i="5"/>
  <c r="C15" i="5" s="1"/>
  <c r="B6" i="5"/>
  <c r="B15" i="5" s="1"/>
  <c r="F18" i="4"/>
  <c r="E18" i="4"/>
  <c r="L15" i="4"/>
  <c r="K15" i="4"/>
  <c r="J15" i="4"/>
  <c r="I15" i="4"/>
  <c r="H15" i="4"/>
  <c r="F15" i="4"/>
  <c r="B15" i="4"/>
  <c r="L14" i="4"/>
  <c r="K14" i="4"/>
  <c r="J14" i="4"/>
  <c r="I14" i="4"/>
  <c r="H14" i="4"/>
  <c r="E14" i="4"/>
  <c r="G13" i="4"/>
  <c r="G15" i="4" s="1"/>
  <c r="F13" i="4"/>
  <c r="F11" i="4" s="1"/>
  <c r="E13" i="4"/>
  <c r="E15" i="4" s="1"/>
  <c r="D13" i="4"/>
  <c r="D15" i="4" s="1"/>
  <c r="C13" i="4"/>
  <c r="C14" i="4" s="1"/>
  <c r="B13" i="4"/>
  <c r="D11" i="4"/>
  <c r="G9" i="4"/>
  <c r="F9" i="4"/>
  <c r="G8" i="4"/>
  <c r="F8" i="4"/>
  <c r="E8" i="4"/>
  <c r="E9" i="4" s="1"/>
  <c r="D8" i="4"/>
  <c r="D9" i="4" s="1"/>
  <c r="C8" i="4"/>
  <c r="C9" i="4" s="1"/>
  <c r="B8" i="4"/>
  <c r="L7" i="4"/>
  <c r="K7" i="4"/>
  <c r="J7" i="4"/>
  <c r="I7" i="4"/>
  <c r="H7" i="4"/>
  <c r="G7" i="4"/>
  <c r="D7" i="4"/>
  <c r="C7" i="4"/>
  <c r="H6" i="4"/>
  <c r="I6" i="4" s="1"/>
  <c r="G6" i="4"/>
  <c r="F6" i="4"/>
  <c r="E6" i="4"/>
  <c r="E7" i="4" s="1"/>
  <c r="D6" i="4"/>
  <c r="C6" i="4"/>
  <c r="B6" i="4"/>
  <c r="B11" i="4" s="1"/>
  <c r="G94" i="3"/>
  <c r="G10" i="4" s="1"/>
  <c r="F94" i="3"/>
  <c r="F10" i="4" s="1"/>
  <c r="E94" i="3"/>
  <c r="E10" i="4" s="1"/>
  <c r="D94" i="3"/>
  <c r="D10" i="4" s="1"/>
  <c r="C94" i="3"/>
  <c r="C10" i="4" s="1"/>
  <c r="B94" i="3"/>
  <c r="B10" i="4" s="1"/>
  <c r="G22" i="2"/>
  <c r="G24" i="6" s="1"/>
  <c r="F22" i="2"/>
  <c r="F24" i="6" s="1"/>
  <c r="E22" i="2"/>
  <c r="E24" i="6" s="1"/>
  <c r="D22" i="2"/>
  <c r="D24" i="6" s="1"/>
  <c r="C22" i="2"/>
  <c r="C24" i="6" s="1"/>
  <c r="B22" i="2"/>
  <c r="B24" i="6" s="1"/>
  <c r="G21" i="2"/>
  <c r="G32" i="6" s="1"/>
  <c r="G35" i="6" s="1"/>
  <c r="F21" i="2"/>
  <c r="F32" i="6" s="1"/>
  <c r="E21" i="2"/>
  <c r="E32" i="6" s="1"/>
  <c r="D21" i="2"/>
  <c r="D32" i="6" s="1"/>
  <c r="C21" i="2"/>
  <c r="C32" i="6" s="1"/>
  <c r="B21" i="2"/>
  <c r="B32" i="6" s="1"/>
  <c r="G20" i="2"/>
  <c r="G23" i="6" s="1"/>
  <c r="F20" i="2"/>
  <c r="F23" i="6" s="1"/>
  <c r="E20" i="2"/>
  <c r="E23" i="6" s="1"/>
  <c r="D20" i="2"/>
  <c r="D23" i="6" s="1"/>
  <c r="C20" i="2"/>
  <c r="C23" i="6" s="1"/>
  <c r="B20" i="2"/>
  <c r="B23" i="6" s="1"/>
  <c r="B17" i="2"/>
  <c r="E18" i="1" s="1"/>
  <c r="B10" i="2"/>
  <c r="B9" i="2"/>
  <c r="B27" i="7" s="1"/>
  <c r="G7" i="1" s="1"/>
  <c r="B26" i="1"/>
  <c r="B25" i="1"/>
  <c r="B24" i="1"/>
  <c r="B23" i="1"/>
  <c r="B22" i="1"/>
  <c r="B21" i="1"/>
  <c r="D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J35" i="6" l="1"/>
  <c r="B35" i="6"/>
  <c r="D35" i="6"/>
  <c r="I9" i="7"/>
  <c r="L35" i="6"/>
  <c r="H41" i="5"/>
  <c r="C35" i="6"/>
  <c r="K35" i="6"/>
  <c r="I35" i="6"/>
  <c r="F35" i="6"/>
  <c r="J41" i="5"/>
  <c r="B23" i="2"/>
  <c r="I41" i="5"/>
  <c r="B18" i="1"/>
  <c r="E23" i="2"/>
  <c r="E35" i="6"/>
  <c r="E25" i="6"/>
  <c r="C18" i="1"/>
  <c r="F25" i="6"/>
  <c r="K41" i="5"/>
  <c r="L41" i="5"/>
  <c r="H35" i="6"/>
  <c r="G25" i="6"/>
  <c r="C26" i="1"/>
  <c r="G16" i="5"/>
  <c r="G16" i="4"/>
  <c r="G18" i="5"/>
  <c r="B7" i="8"/>
  <c r="B27" i="6"/>
  <c r="F12" i="4"/>
  <c r="L10" i="4"/>
  <c r="K10" i="4"/>
  <c r="J10" i="4"/>
  <c r="I10" i="4"/>
  <c r="H10" i="4"/>
  <c r="H8" i="4" s="1"/>
  <c r="H9" i="4" s="1"/>
  <c r="D12" i="4"/>
  <c r="D16" i="5"/>
  <c r="D16" i="4"/>
  <c r="D18" i="5"/>
  <c r="C23" i="1"/>
  <c r="E16" i="4"/>
  <c r="E18" i="5"/>
  <c r="C24" i="1"/>
  <c r="E16" i="5"/>
  <c r="B16" i="5"/>
  <c r="B16" i="4"/>
  <c r="B18" i="5"/>
  <c r="C21" i="1"/>
  <c r="B58" i="5"/>
  <c r="I8" i="4"/>
  <c r="F18" i="5"/>
  <c r="F16" i="5"/>
  <c r="C25" i="1"/>
  <c r="F16" i="4"/>
  <c r="C7" i="8"/>
  <c r="C27" i="6"/>
  <c r="B83" i="5"/>
  <c r="C16" i="5"/>
  <c r="C16" i="4"/>
  <c r="C22" i="1"/>
  <c r="C18" i="5"/>
  <c r="C41" i="5"/>
  <c r="D37" i="5"/>
  <c r="D23" i="2"/>
  <c r="F7" i="4"/>
  <c r="C11" i="4"/>
  <c r="C12" i="4" s="1"/>
  <c r="D14" i="4"/>
  <c r="B9" i="5"/>
  <c r="B10" i="5" s="1"/>
  <c r="D36" i="5"/>
  <c r="D56" i="5"/>
  <c r="D90" i="5"/>
  <c r="D19" i="4" s="1"/>
  <c r="E83" i="5"/>
  <c r="B6" i="8"/>
  <c r="B26" i="6"/>
  <c r="E6" i="8"/>
  <c r="E26" i="6"/>
  <c r="C9" i="5"/>
  <c r="C10" i="5" s="1"/>
  <c r="C57" i="5"/>
  <c r="C58" i="5" s="1"/>
  <c r="B36" i="6"/>
  <c r="B37" i="6" s="1"/>
  <c r="B25" i="7"/>
  <c r="L24" i="6"/>
  <c r="K24" i="6"/>
  <c r="J24" i="6"/>
  <c r="J25" i="6" s="1"/>
  <c r="I24" i="6"/>
  <c r="I25" i="6" s="1"/>
  <c r="H24" i="6"/>
  <c r="H25" i="6" s="1"/>
  <c r="F23" i="2"/>
  <c r="J6" i="4"/>
  <c r="E11" i="4"/>
  <c r="E12" i="4" s="1"/>
  <c r="H13" i="4"/>
  <c r="F14" i="4"/>
  <c r="C15" i="4"/>
  <c r="B18" i="4"/>
  <c r="D9" i="5"/>
  <c r="D10" i="5" s="1"/>
  <c r="G41" i="5"/>
  <c r="F7" i="8"/>
  <c r="F27" i="6"/>
  <c r="G50" i="5"/>
  <c r="C36" i="6"/>
  <c r="C37" i="6" s="1"/>
  <c r="E36" i="6"/>
  <c r="E37" i="6" s="1"/>
  <c r="G88" i="5"/>
  <c r="G74" i="5"/>
  <c r="B74" i="5"/>
  <c r="F90" i="5"/>
  <c r="F19" i="4" s="1"/>
  <c r="D12" i="6"/>
  <c r="K23" i="6"/>
  <c r="L37" i="6"/>
  <c r="K37" i="6"/>
  <c r="J37" i="6"/>
  <c r="I37" i="6"/>
  <c r="H37" i="6"/>
  <c r="G14" i="4"/>
  <c r="C18" i="4"/>
  <c r="C7" i="5"/>
  <c r="E9" i="5"/>
  <c r="E10" i="5" s="1"/>
  <c r="G36" i="5"/>
  <c r="G37" i="5" s="1"/>
  <c r="C40" i="5"/>
  <c r="E56" i="5"/>
  <c r="E74" i="5"/>
  <c r="E84" i="5" s="1"/>
  <c r="E85" i="5" s="1"/>
  <c r="H18" i="6"/>
  <c r="H22" i="5" s="1"/>
  <c r="G90" i="5"/>
  <c r="G19" i="4" s="1"/>
  <c r="G82" i="5"/>
  <c r="G83" i="5" s="1"/>
  <c r="B15" i="6"/>
  <c r="B21" i="6" s="1"/>
  <c r="B31" i="6" s="1"/>
  <c r="B25" i="6"/>
  <c r="G11" i="4"/>
  <c r="G12" i="4" s="1"/>
  <c r="D18" i="4"/>
  <c r="D7" i="5"/>
  <c r="D40" i="5"/>
  <c r="D41" i="5" s="1"/>
  <c r="F57" i="5"/>
  <c r="F58" i="5" s="1"/>
  <c r="F86" i="5" s="1"/>
  <c r="F4" i="8" s="1"/>
  <c r="G56" i="5"/>
  <c r="G13" i="6" s="1"/>
  <c r="E82" i="5"/>
  <c r="B90" i="5"/>
  <c r="B19" i="4" s="1"/>
  <c r="F12" i="6"/>
  <c r="F15" i="6" s="1"/>
  <c r="F21" i="6" s="1"/>
  <c r="F31" i="6" s="1"/>
  <c r="H9" i="6"/>
  <c r="H77" i="5" s="1"/>
  <c r="H8" i="6"/>
  <c r="I11" i="6"/>
  <c r="I78" i="5" s="1"/>
  <c r="H69" i="5"/>
  <c r="C25" i="6"/>
  <c r="G9" i="5"/>
  <c r="G10" i="5" s="1"/>
  <c r="F36" i="6"/>
  <c r="F37" i="6" s="1"/>
  <c r="B89" i="5"/>
  <c r="F89" i="5"/>
  <c r="H7" i="6"/>
  <c r="H76" i="5" s="1"/>
  <c r="G12" i="6"/>
  <c r="H6" i="6"/>
  <c r="D25" i="6"/>
  <c r="H60" i="5"/>
  <c r="G65" i="5"/>
  <c r="C74" i="5"/>
  <c r="F18" i="1"/>
  <c r="C23" i="2"/>
  <c r="G18" i="4"/>
  <c r="G7" i="5"/>
  <c r="D88" i="5"/>
  <c r="D89" i="5" s="1"/>
  <c r="C12" i="6"/>
  <c r="B14" i="6"/>
  <c r="B28" i="6" s="1"/>
  <c r="I17" i="7"/>
  <c r="I15" i="7"/>
  <c r="C82" i="5"/>
  <c r="C83" i="5" s="1"/>
  <c r="C90" i="5"/>
  <c r="C19" i="4" s="1"/>
  <c r="I18" i="7"/>
  <c r="D74" i="5"/>
  <c r="D82" i="5"/>
  <c r="D83" i="5" s="1"/>
  <c r="I7" i="7"/>
  <c r="I14" i="7"/>
  <c r="I10" i="7"/>
  <c r="F82" i="5"/>
  <c r="F83" i="5" s="1"/>
  <c r="F84" i="5" s="1"/>
  <c r="F85" i="5" s="1"/>
  <c r="I9" i="4" l="1"/>
  <c r="F38" i="6"/>
  <c r="F25" i="1" s="1"/>
  <c r="I60" i="5"/>
  <c r="G26" i="6"/>
  <c r="G6" i="8"/>
  <c r="G14" i="6"/>
  <c r="G28" i="6" s="1"/>
  <c r="G29" i="6" s="1"/>
  <c r="G7" i="8"/>
  <c r="G27" i="6"/>
  <c r="F26" i="5"/>
  <c r="F28" i="5" s="1"/>
  <c r="F17" i="4"/>
  <c r="F19" i="5"/>
  <c r="D25" i="1" s="1"/>
  <c r="D6" i="8"/>
  <c r="E15" i="6"/>
  <c r="E21" i="6" s="1"/>
  <c r="E31" i="6" s="1"/>
  <c r="E38" i="6" s="1"/>
  <c r="F24" i="1" s="1"/>
  <c r="D26" i="6"/>
  <c r="D84" i="5"/>
  <c r="D85" i="5" s="1"/>
  <c r="C14" i="6"/>
  <c r="C28" i="6" s="1"/>
  <c r="C29" i="6" s="1"/>
  <c r="C6" i="8"/>
  <c r="C26" i="6"/>
  <c r="D15" i="6"/>
  <c r="D21" i="6" s="1"/>
  <c r="D31" i="6" s="1"/>
  <c r="H68" i="5"/>
  <c r="I9" i="6"/>
  <c r="I77" i="5" s="1"/>
  <c r="I8" i="6"/>
  <c r="H6" i="5"/>
  <c r="H11" i="4"/>
  <c r="H12" i="4" s="1"/>
  <c r="I13" i="4"/>
  <c r="E26" i="5"/>
  <c r="E28" i="5" s="1"/>
  <c r="E17" i="4"/>
  <c r="E19" i="5"/>
  <c r="D24" i="1" s="1"/>
  <c r="B84" i="5"/>
  <c r="B85" i="5" s="1"/>
  <c r="B86" i="5" s="1"/>
  <c r="B4" i="8" s="1"/>
  <c r="C19" i="5"/>
  <c r="D22" i="1" s="1"/>
  <c r="C26" i="5"/>
  <c r="C28" i="5" s="1"/>
  <c r="C17" i="4"/>
  <c r="B17" i="4"/>
  <c r="B19" i="5"/>
  <c r="D21" i="1" s="1"/>
  <c r="B26" i="5"/>
  <c r="B28" i="5" s="1"/>
  <c r="G17" i="4"/>
  <c r="G19" i="5"/>
  <c r="D26" i="1" s="1"/>
  <c r="G26" i="5"/>
  <c r="G28" i="5" s="1"/>
  <c r="J10" i="6"/>
  <c r="F6" i="8"/>
  <c r="G15" i="6"/>
  <c r="G21" i="6" s="1"/>
  <c r="G31" i="6" s="1"/>
  <c r="F26" i="6"/>
  <c r="F14" i="6"/>
  <c r="F28" i="6" s="1"/>
  <c r="F29" i="6" s="1"/>
  <c r="D36" i="6"/>
  <c r="G84" i="5"/>
  <c r="J8" i="4"/>
  <c r="J9" i="4" s="1"/>
  <c r="K6" i="4"/>
  <c r="C84" i="5"/>
  <c r="C85" i="5" s="1"/>
  <c r="C86" i="5" s="1"/>
  <c r="C4" i="8" s="1"/>
  <c r="J11" i="6"/>
  <c r="J78" i="5" s="1"/>
  <c r="E13" i="6"/>
  <c r="E89" i="5"/>
  <c r="E57" i="5"/>
  <c r="E58" i="5" s="1"/>
  <c r="E86" i="5" s="1"/>
  <c r="E4" i="8" s="1"/>
  <c r="G89" i="5"/>
  <c r="B23" i="7" s="1"/>
  <c r="D13" i="6"/>
  <c r="D57" i="5"/>
  <c r="D58" i="5" s="1"/>
  <c r="D86" i="5" s="1"/>
  <c r="D4" i="8" s="1"/>
  <c r="D26" i="5"/>
  <c r="D28" i="5" s="1"/>
  <c r="D17" i="4"/>
  <c r="D19" i="5"/>
  <c r="D23" i="1" s="1"/>
  <c r="G36" i="6"/>
  <c r="G85" i="5"/>
  <c r="I6" i="6"/>
  <c r="H67" i="5"/>
  <c r="I7" i="6"/>
  <c r="I76" i="5" s="1"/>
  <c r="H12" i="6"/>
  <c r="H15" i="6" s="1"/>
  <c r="H20" i="6" s="1"/>
  <c r="B29" i="6"/>
  <c r="K25" i="6"/>
  <c r="L23" i="6"/>
  <c r="L25" i="6" s="1"/>
  <c r="B38" i="6"/>
  <c r="F21" i="1" s="1"/>
  <c r="C15" i="6"/>
  <c r="C21" i="6" s="1"/>
  <c r="C31" i="6" s="1"/>
  <c r="C38" i="6" s="1"/>
  <c r="F22" i="1" s="1"/>
  <c r="G57" i="5"/>
  <c r="G58" i="5" s="1"/>
  <c r="G86" i="5" s="1"/>
  <c r="G4" i="8" s="1"/>
  <c r="H21" i="6" l="1"/>
  <c r="H31" i="6" s="1"/>
  <c r="H38" i="6" s="1"/>
  <c r="H17" i="6"/>
  <c r="H21" i="5"/>
  <c r="H25" i="5" s="1"/>
  <c r="H88" i="5"/>
  <c r="H74" i="5"/>
  <c r="D29" i="5"/>
  <c r="D31" i="5"/>
  <c r="I6" i="5"/>
  <c r="I11" i="4"/>
  <c r="I12" i="4" s="1"/>
  <c r="J13" i="4"/>
  <c r="D27" i="6"/>
  <c r="D7" i="8"/>
  <c r="L6" i="4"/>
  <c r="L8" i="4" s="1"/>
  <c r="K8" i="4"/>
  <c r="K9" i="4" s="1"/>
  <c r="J69" i="5"/>
  <c r="K11" i="6"/>
  <c r="K78" i="5" s="1"/>
  <c r="K10" i="6"/>
  <c r="C29" i="5"/>
  <c r="C31" i="5"/>
  <c r="H75" i="5"/>
  <c r="H51" i="5"/>
  <c r="H17" i="5"/>
  <c r="H32" i="5" s="1"/>
  <c r="B11" i="7" s="1"/>
  <c r="B5" i="1"/>
  <c r="H11" i="5"/>
  <c r="H8" i="5"/>
  <c r="H9" i="5" s="1"/>
  <c r="H10" i="5" s="1"/>
  <c r="H52" i="5"/>
  <c r="H35" i="5"/>
  <c r="H7" i="5"/>
  <c r="B27" i="1"/>
  <c r="F31" i="5"/>
  <c r="F29" i="5"/>
  <c r="J9" i="6"/>
  <c r="J77" i="5" s="1"/>
  <c r="J8" i="6"/>
  <c r="I68" i="5"/>
  <c r="D37" i="6"/>
  <c r="D38" i="6"/>
  <c r="F23" i="1" s="1"/>
  <c r="D14" i="6"/>
  <c r="D28" i="6" s="1"/>
  <c r="D29" i="6" s="1"/>
  <c r="I12" i="6"/>
  <c r="I67" i="5"/>
  <c r="J6" i="6"/>
  <c r="J7" i="6"/>
  <c r="J76" i="5" s="1"/>
  <c r="E27" i="6"/>
  <c r="E7" i="8"/>
  <c r="E14" i="6"/>
  <c r="E28" i="6" s="1"/>
  <c r="E29" i="6" s="1"/>
  <c r="B31" i="5"/>
  <c r="B29" i="5"/>
  <c r="J60" i="5"/>
  <c r="G31" i="5"/>
  <c r="G29" i="5"/>
  <c r="G37" i="6"/>
  <c r="G38" i="6" s="1"/>
  <c r="F26" i="1" s="1"/>
  <c r="H26" i="6"/>
  <c r="H6" i="8"/>
  <c r="E29" i="5"/>
  <c r="E31" i="5"/>
  <c r="J11" i="4" l="1"/>
  <c r="J12" i="4" s="1"/>
  <c r="K13" i="4"/>
  <c r="J6" i="5"/>
  <c r="B33" i="5"/>
  <c r="B34" i="5"/>
  <c r="B42" i="5" s="1"/>
  <c r="B87" i="5" s="1"/>
  <c r="B5" i="8" s="1"/>
  <c r="I26" i="6"/>
  <c r="L11" i="6"/>
  <c r="L78" i="5" s="1"/>
  <c r="K69" i="5"/>
  <c r="L10" i="6"/>
  <c r="L69" i="5" s="1"/>
  <c r="B5" i="7"/>
  <c r="F27" i="1"/>
  <c r="B8" i="1"/>
  <c r="F34" i="5"/>
  <c r="F42" i="5" s="1"/>
  <c r="F87" i="5" s="1"/>
  <c r="F5" i="8" s="1"/>
  <c r="F33" i="5"/>
  <c r="I75" i="5"/>
  <c r="I51" i="5"/>
  <c r="I17" i="5"/>
  <c r="I32" i="5" s="1"/>
  <c r="C11" i="7" s="1"/>
  <c r="I11" i="5"/>
  <c r="B28" i="1"/>
  <c r="I8" i="5"/>
  <c r="I15" i="5" s="1"/>
  <c r="I52" i="5"/>
  <c r="I35" i="5"/>
  <c r="I7" i="5"/>
  <c r="D33" i="5"/>
  <c r="D34" i="5"/>
  <c r="D42" i="5" s="1"/>
  <c r="D87" i="5" s="1"/>
  <c r="D5" i="8" s="1"/>
  <c r="H15" i="5"/>
  <c r="L9" i="4"/>
  <c r="G33" i="5"/>
  <c r="G34" i="5" s="1"/>
  <c r="G42" i="5" s="1"/>
  <c r="G87" i="5" s="1"/>
  <c r="G5" i="8" s="1"/>
  <c r="I15" i="6"/>
  <c r="I20" i="6" s="1"/>
  <c r="H9" i="8"/>
  <c r="B12" i="7"/>
  <c r="H37" i="5"/>
  <c r="H18" i="4"/>
  <c r="H46" i="5"/>
  <c r="H47" i="5"/>
  <c r="I18" i="6"/>
  <c r="I22" i="5" s="1"/>
  <c r="H90" i="5"/>
  <c r="I88" i="5"/>
  <c r="I74" i="5"/>
  <c r="E33" i="5"/>
  <c r="E34" i="5" s="1"/>
  <c r="E42" i="5" s="1"/>
  <c r="E87" i="5" s="1"/>
  <c r="E5" i="8" s="1"/>
  <c r="K60" i="5"/>
  <c r="K6" i="6"/>
  <c r="K7" i="6"/>
  <c r="K76" i="5" s="1"/>
  <c r="J12" i="6"/>
  <c r="J15" i="6" s="1"/>
  <c r="J20" i="6" s="1"/>
  <c r="J67" i="5"/>
  <c r="K8" i="6"/>
  <c r="K9" i="6"/>
  <c r="K77" i="5" s="1"/>
  <c r="J68" i="5"/>
  <c r="C33" i="5"/>
  <c r="C34" i="5"/>
  <c r="C42" i="5" s="1"/>
  <c r="C87" i="5" s="1"/>
  <c r="C5" i="8" s="1"/>
  <c r="J21" i="6" l="1"/>
  <c r="J31" i="6" s="1"/>
  <c r="J38" i="6" s="1"/>
  <c r="F29" i="1" s="1"/>
  <c r="J21" i="5"/>
  <c r="C28" i="1"/>
  <c r="I16" i="5"/>
  <c r="I16" i="4"/>
  <c r="I18" i="5"/>
  <c r="H16" i="5"/>
  <c r="H16" i="4"/>
  <c r="B6" i="1"/>
  <c r="H18" i="5"/>
  <c r="C27" i="1"/>
  <c r="H33" i="5"/>
  <c r="B13" i="7" s="1"/>
  <c r="H19" i="4"/>
  <c r="I9" i="5"/>
  <c r="I10" i="5" s="1"/>
  <c r="E17" i="7"/>
  <c r="N13" i="7"/>
  <c r="D17" i="7"/>
  <c r="M13" i="7"/>
  <c r="C17" i="7"/>
  <c r="L13" i="7"/>
  <c r="N5" i="7"/>
  <c r="B17" i="7"/>
  <c r="K13" i="7"/>
  <c r="M5" i="7"/>
  <c r="J13" i="7"/>
  <c r="L5" i="7"/>
  <c r="K5" i="7"/>
  <c r="H8" i="8"/>
  <c r="J5" i="7"/>
  <c r="F17" i="7"/>
  <c r="K67" i="5"/>
  <c r="L6" i="6"/>
  <c r="L7" i="6"/>
  <c r="L76" i="5" s="1"/>
  <c r="K12" i="6"/>
  <c r="K15" i="6" s="1"/>
  <c r="K20" i="6" s="1"/>
  <c r="I21" i="6"/>
  <c r="I31" i="6" s="1"/>
  <c r="I38" i="6" s="1"/>
  <c r="F28" i="1" s="1"/>
  <c r="I17" i="6"/>
  <c r="I21" i="5"/>
  <c r="I25" i="5" s="1"/>
  <c r="L60" i="5"/>
  <c r="I47" i="5"/>
  <c r="J52" i="5"/>
  <c r="J11" i="5"/>
  <c r="J8" i="5"/>
  <c r="J75" i="5"/>
  <c r="J35" i="5"/>
  <c r="J7" i="5"/>
  <c r="B29" i="1"/>
  <c r="J51" i="5"/>
  <c r="J17" i="5"/>
  <c r="J32" i="5" s="1"/>
  <c r="D11" i="7" s="1"/>
  <c r="I6" i="8"/>
  <c r="H50" i="5"/>
  <c r="I46" i="5"/>
  <c r="I9" i="8"/>
  <c r="C12" i="7"/>
  <c r="I18" i="4"/>
  <c r="I37" i="5"/>
  <c r="I90" i="5"/>
  <c r="J18" i="6"/>
  <c r="J22" i="5" s="1"/>
  <c r="L13" i="4"/>
  <c r="K6" i="5"/>
  <c r="K11" i="4"/>
  <c r="K12" i="4" s="1"/>
  <c r="J26" i="6"/>
  <c r="K68" i="5"/>
  <c r="L9" i="6"/>
  <c r="L77" i="5" s="1"/>
  <c r="L8" i="6"/>
  <c r="L68" i="5" s="1"/>
  <c r="J88" i="5"/>
  <c r="J6" i="8" s="1"/>
  <c r="J74" i="5"/>
  <c r="J15" i="5" l="1"/>
  <c r="C29" i="1" s="1"/>
  <c r="J9" i="5"/>
  <c r="J10" i="5" s="1"/>
  <c r="K18" i="6"/>
  <c r="K22" i="5" s="1"/>
  <c r="J90" i="5"/>
  <c r="C8" i="7"/>
  <c r="I17" i="4"/>
  <c r="I19" i="5"/>
  <c r="D28" i="1" s="1"/>
  <c r="K21" i="6"/>
  <c r="K31" i="6" s="1"/>
  <c r="K38" i="6" s="1"/>
  <c r="F30" i="1" s="1"/>
  <c r="K21" i="5"/>
  <c r="J16" i="5"/>
  <c r="J16" i="4"/>
  <c r="J18" i="5"/>
  <c r="K74" i="5"/>
  <c r="K88" i="5"/>
  <c r="K6" i="8" s="1"/>
  <c r="K26" i="6"/>
  <c r="B8" i="7"/>
  <c r="H17" i="4"/>
  <c r="H19" i="5"/>
  <c r="H26" i="5"/>
  <c r="J25" i="5"/>
  <c r="J17" i="6"/>
  <c r="I33" i="5"/>
  <c r="C13" i="7" s="1"/>
  <c r="I19" i="4"/>
  <c r="J9" i="8"/>
  <c r="D12" i="7"/>
  <c r="J18" i="4"/>
  <c r="J37" i="5"/>
  <c r="K75" i="5"/>
  <c r="K11" i="5"/>
  <c r="K15" i="5" s="1"/>
  <c r="B30" i="1"/>
  <c r="K8" i="5"/>
  <c r="K35" i="5"/>
  <c r="K52" i="5"/>
  <c r="K7" i="5"/>
  <c r="K51" i="5"/>
  <c r="K17" i="5"/>
  <c r="K32" i="5" s="1"/>
  <c r="E11" i="7" s="1"/>
  <c r="K9" i="5"/>
  <c r="K10" i="5" s="1"/>
  <c r="L6" i="5"/>
  <c r="L11" i="4"/>
  <c r="L12" i="4" s="1"/>
  <c r="I50" i="5"/>
  <c r="J46" i="5"/>
  <c r="J47" i="5"/>
  <c r="L12" i="6"/>
  <c r="L67" i="5"/>
  <c r="K17" i="6" l="1"/>
  <c r="K25" i="5"/>
  <c r="K16" i="5"/>
  <c r="K16" i="4"/>
  <c r="K18" i="5"/>
  <c r="C30" i="1"/>
  <c r="B9" i="7"/>
  <c r="B10" i="7" s="1"/>
  <c r="B14" i="7" s="1"/>
  <c r="C9" i="7"/>
  <c r="C10" i="7" s="1"/>
  <c r="C14" i="7" s="1"/>
  <c r="K47" i="5"/>
  <c r="K9" i="8"/>
  <c r="E12" i="7"/>
  <c r="K18" i="4"/>
  <c r="K37" i="5"/>
  <c r="L26" i="6"/>
  <c r="J50" i="5"/>
  <c r="K46" i="5"/>
  <c r="L88" i="5"/>
  <c r="L74" i="5"/>
  <c r="L15" i="6"/>
  <c r="L20" i="6" s="1"/>
  <c r="D8" i="7"/>
  <c r="J17" i="4"/>
  <c r="J19" i="5"/>
  <c r="D29" i="1" s="1"/>
  <c r="H27" i="5"/>
  <c r="H28" i="5" s="1"/>
  <c r="J33" i="5"/>
  <c r="D13" i="7" s="1"/>
  <c r="J19" i="4"/>
  <c r="L75" i="5"/>
  <c r="L8" i="5"/>
  <c r="L9" i="5" s="1"/>
  <c r="L10" i="5" s="1"/>
  <c r="C5" i="1"/>
  <c r="D5" i="1" s="1"/>
  <c r="L35" i="5"/>
  <c r="L52" i="5"/>
  <c r="L7" i="5"/>
  <c r="B31" i="1"/>
  <c r="L51" i="5"/>
  <c r="L17" i="5"/>
  <c r="L32" i="5" s="1"/>
  <c r="F11" i="7" s="1"/>
  <c r="B31" i="7" s="1"/>
  <c r="B32" i="7" s="1"/>
  <c r="H10" i="8" s="1"/>
  <c r="L11" i="5"/>
  <c r="K90" i="5"/>
  <c r="L18" i="6"/>
  <c r="L22" i="5" s="1"/>
  <c r="B7" i="1"/>
  <c r="D27" i="1"/>
  <c r="L15" i="5" l="1"/>
  <c r="L16" i="5" s="1"/>
  <c r="B18" i="7"/>
  <c r="E27" i="1"/>
  <c r="K33" i="5"/>
  <c r="E13" i="7" s="1"/>
  <c r="K19" i="4"/>
  <c r="H62" i="5"/>
  <c r="H31" i="5"/>
  <c r="H34" i="5" s="1"/>
  <c r="H42" i="5" s="1"/>
  <c r="H44" i="5" s="1"/>
  <c r="H29" i="5"/>
  <c r="K50" i="5"/>
  <c r="L46" i="5"/>
  <c r="L47" i="5"/>
  <c r="E8" i="7"/>
  <c r="K19" i="5"/>
  <c r="D30" i="1" s="1"/>
  <c r="K17" i="4"/>
  <c r="L90" i="5"/>
  <c r="D9" i="7"/>
  <c r="D10" i="7" s="1"/>
  <c r="D14" i="7" s="1"/>
  <c r="C18" i="7"/>
  <c r="E28" i="1"/>
  <c r="L9" i="8"/>
  <c r="F12" i="7"/>
  <c r="L18" i="4"/>
  <c r="L37" i="5"/>
  <c r="L21" i="6"/>
  <c r="L31" i="6" s="1"/>
  <c r="L38" i="6" s="1"/>
  <c r="L17" i="6"/>
  <c r="L21" i="5"/>
  <c r="L25" i="5" s="1"/>
  <c r="L6" i="8"/>
  <c r="C6" i="1" l="1"/>
  <c r="D6" i="1" s="1"/>
  <c r="C31" i="1"/>
  <c r="L16" i="4"/>
  <c r="L18" i="5"/>
  <c r="F8" i="7" s="1"/>
  <c r="D18" i="7"/>
  <c r="E29" i="1"/>
  <c r="H87" i="5"/>
  <c r="H5" i="8" s="1"/>
  <c r="H56" i="5"/>
  <c r="I43" i="5"/>
  <c r="I20" i="5"/>
  <c r="I26" i="5" s="1"/>
  <c r="E9" i="7"/>
  <c r="E10" i="7" s="1"/>
  <c r="E14" i="7" s="1"/>
  <c r="H65" i="5"/>
  <c r="C8" i="1"/>
  <c r="D8" i="1" s="1"/>
  <c r="F31" i="1"/>
  <c r="L50" i="5"/>
  <c r="L33" i="5"/>
  <c r="F13" i="7" s="1"/>
  <c r="B33" i="7" s="1"/>
  <c r="L19" i="4"/>
  <c r="L19" i="5" l="1"/>
  <c r="L17" i="4"/>
  <c r="E18" i="7"/>
  <c r="E30" i="1"/>
  <c r="I27" i="5"/>
  <c r="I28" i="5" s="1"/>
  <c r="H13" i="6"/>
  <c r="H89" i="5"/>
  <c r="B9" i="1" s="1"/>
  <c r="H57" i="5"/>
  <c r="H58" i="5" s="1"/>
  <c r="C7" i="1"/>
  <c r="D7" i="1" s="1"/>
  <c r="D31" i="1"/>
  <c r="F9" i="7"/>
  <c r="F10" i="7" s="1"/>
  <c r="H7" i="8" l="1"/>
  <c r="H27" i="6"/>
  <c r="H14" i="6"/>
  <c r="H28" i="6" s="1"/>
  <c r="H29" i="6" s="1"/>
  <c r="F14" i="7"/>
  <c r="B30" i="7"/>
  <c r="B34" i="7" s="1"/>
  <c r="B35" i="7" s="1"/>
  <c r="B36" i="7" s="1"/>
  <c r="I31" i="5"/>
  <c r="I34" i="5" s="1"/>
  <c r="I42" i="5" s="1"/>
  <c r="I44" i="5" s="1"/>
  <c r="I29" i="5"/>
  <c r="I62" i="5"/>
  <c r="H82" i="5"/>
  <c r="H83" i="5" s="1"/>
  <c r="H84" i="5" s="1"/>
  <c r="H85" i="5" s="1"/>
  <c r="H86" i="5" s="1"/>
  <c r="H4" i="8" s="1"/>
  <c r="I65" i="5" l="1"/>
  <c r="I56" i="5"/>
  <c r="J43" i="5"/>
  <c r="I87" i="5"/>
  <c r="I5" i="8" s="1"/>
  <c r="J20" i="5"/>
  <c r="J26" i="5" s="1"/>
  <c r="F18" i="7"/>
  <c r="B37" i="7" s="1"/>
  <c r="B38" i="7" s="1"/>
  <c r="G19" i="7"/>
  <c r="G20" i="7" s="1"/>
  <c r="E31" i="1"/>
  <c r="M14" i="7"/>
  <c r="M6" i="7"/>
  <c r="N18" i="7"/>
  <c r="M18" i="7"/>
  <c r="N8" i="7"/>
  <c r="L6" i="7"/>
  <c r="K7" i="7"/>
  <c r="K18" i="7"/>
  <c r="N17" i="7"/>
  <c r="J8" i="7"/>
  <c r="J9" i="7"/>
  <c r="M9" i="7"/>
  <c r="J16" i="7"/>
  <c r="J14" i="7"/>
  <c r="J6" i="7"/>
  <c r="N15" i="7"/>
  <c r="N10" i="7"/>
  <c r="J7" i="7"/>
  <c r="L18" i="7"/>
  <c r="N7" i="7"/>
  <c r="K9" i="7"/>
  <c r="L14" i="7"/>
  <c r="L7" i="7"/>
  <c r="M10" i="7"/>
  <c r="L10" i="7"/>
  <c r="J18" i="7"/>
  <c r="M7" i="7"/>
  <c r="K17" i="7"/>
  <c r="N9" i="7"/>
  <c r="L15" i="7"/>
  <c r="N16" i="7"/>
  <c r="K14" i="7"/>
  <c r="K8" i="7"/>
  <c r="K15" i="7"/>
  <c r="N6" i="7"/>
  <c r="K6" i="7"/>
  <c r="M15" i="7"/>
  <c r="L17" i="7"/>
  <c r="M8" i="7"/>
  <c r="J10" i="7"/>
  <c r="K10" i="7"/>
  <c r="J15" i="7"/>
  <c r="L16" i="7"/>
  <c r="K16" i="7"/>
  <c r="L8" i="7"/>
  <c r="M16" i="7"/>
  <c r="L9" i="7"/>
  <c r="J17" i="7"/>
  <c r="N14" i="7"/>
  <c r="M17" i="7"/>
  <c r="B22" i="7" l="1"/>
  <c r="B24" i="7" s="1"/>
  <c r="B26" i="7" s="1"/>
  <c r="B28" i="7" s="1"/>
  <c r="G8" i="1" s="1"/>
  <c r="B39" i="7"/>
  <c r="G9" i="1" s="1"/>
  <c r="G6" i="1"/>
  <c r="J27" i="5"/>
  <c r="J28" i="5" s="1"/>
  <c r="I13" i="6"/>
  <c r="I57" i="5"/>
  <c r="I58" i="5" s="1"/>
  <c r="I89" i="5"/>
  <c r="G5" i="1" l="1"/>
  <c r="J31" i="5"/>
  <c r="J34" i="5" s="1"/>
  <c r="J42" i="5" s="1"/>
  <c r="J44" i="5" s="1"/>
  <c r="J29" i="5"/>
  <c r="J62" i="5"/>
  <c r="I7" i="8"/>
  <c r="I27" i="6"/>
  <c r="I14" i="6"/>
  <c r="I28" i="6" s="1"/>
  <c r="I29" i="6" s="1"/>
  <c r="I82" i="5"/>
  <c r="I83" i="5" s="1"/>
  <c r="I84" i="5" s="1"/>
  <c r="I85" i="5" s="1"/>
  <c r="I86" i="5" s="1"/>
  <c r="I4" i="8" s="1"/>
  <c r="J65" i="5" l="1"/>
  <c r="J87" i="5"/>
  <c r="J5" i="8" s="1"/>
  <c r="J56" i="5"/>
  <c r="K43" i="5"/>
  <c r="K20" i="5"/>
  <c r="K26" i="5" s="1"/>
  <c r="K27" i="5" l="1"/>
  <c r="K28" i="5" s="1"/>
  <c r="J13" i="6"/>
  <c r="J89" i="5"/>
  <c r="J57" i="5"/>
  <c r="J58" i="5" s="1"/>
  <c r="K29" i="5" l="1"/>
  <c r="K31" i="5"/>
  <c r="K34" i="5" s="1"/>
  <c r="K42" i="5" s="1"/>
  <c r="K44" i="5" s="1"/>
  <c r="K62" i="5"/>
  <c r="J82" i="5"/>
  <c r="J83" i="5" s="1"/>
  <c r="J84" i="5" s="1"/>
  <c r="J85" i="5" s="1"/>
  <c r="J86" i="5" s="1"/>
  <c r="J4" i="8" s="1"/>
  <c r="J7" i="8"/>
  <c r="J27" i="6"/>
  <c r="J14" i="6"/>
  <c r="J28" i="6" s="1"/>
  <c r="J29" i="6" s="1"/>
  <c r="K56" i="5" l="1"/>
  <c r="L43" i="5"/>
  <c r="K87" i="5"/>
  <c r="K5" i="8" s="1"/>
  <c r="L20" i="5"/>
  <c r="L26" i="5" s="1"/>
  <c r="K65" i="5"/>
  <c r="L27" i="5" l="1"/>
  <c r="L28" i="5" s="1"/>
  <c r="K13" i="6"/>
  <c r="K57" i="5"/>
  <c r="K58" i="5" s="1"/>
  <c r="K89" i="5"/>
  <c r="L29" i="5" l="1"/>
  <c r="L31" i="5"/>
  <c r="L34" i="5" s="1"/>
  <c r="L42" i="5" s="1"/>
  <c r="L44" i="5" s="1"/>
  <c r="L62" i="5"/>
  <c r="L65" i="5" s="1"/>
  <c r="K82" i="5"/>
  <c r="K83" i="5" s="1"/>
  <c r="K84" i="5" s="1"/>
  <c r="K85" i="5" s="1"/>
  <c r="K86" i="5" s="1"/>
  <c r="K4" i="8" s="1"/>
  <c r="K7" i="8"/>
  <c r="K27" i="6"/>
  <c r="K14" i="6"/>
  <c r="K28" i="6" s="1"/>
  <c r="K29" i="6" s="1"/>
  <c r="L56" i="5" l="1"/>
  <c r="L87" i="5"/>
  <c r="L5" i="8" s="1"/>
  <c r="L13" i="6" l="1"/>
  <c r="L57" i="5"/>
  <c r="L58" i="5" s="1"/>
  <c r="L89" i="5"/>
  <c r="C9" i="1" s="1"/>
  <c r="D9" i="1" s="1"/>
  <c r="L82" i="5" l="1"/>
  <c r="L83" i="5" s="1"/>
  <c r="L84" i="5" s="1"/>
  <c r="L85" i="5" s="1"/>
  <c r="L86" i="5" s="1"/>
  <c r="L4" i="8" s="1"/>
  <c r="L27" i="6"/>
  <c r="L7" i="8"/>
  <c r="L14" i="6"/>
  <c r="L28" i="6" s="1"/>
  <c r="L29" i="6" s="1"/>
</calcChain>
</file>

<file path=xl/sharedStrings.xml><?xml version="1.0" encoding="utf-8"?>
<sst xmlns="http://schemas.openxmlformats.org/spreadsheetml/2006/main" count="475" uniqueCount="296">
  <si>
    <t>DINO DCF Dashboard</t>
  </si>
  <si>
    <t>Key Outputs</t>
  </si>
  <si>
    <t>Metric</t>
  </si>
  <si>
    <t>2026E</t>
  </si>
  <si>
    <t>2030E</t>
  </si>
  <si>
    <t>CAGR / Δ</t>
  </si>
  <si>
    <t>Value</t>
  </si>
  <si>
    <t>Scenario</t>
  </si>
  <si>
    <t>Sales revenue (PLN '000)</t>
  </si>
  <si>
    <t>Implied share price</t>
  </si>
  <si>
    <t>Scenario 1</t>
  </si>
  <si>
    <t>EBITDA (PLN '000)</t>
  </si>
  <si>
    <t>Scenario 2</t>
  </si>
  <si>
    <t>EBIT margin</t>
  </si>
  <si>
    <t>Current share price</t>
  </si>
  <si>
    <t>WACC</t>
  </si>
  <si>
    <t>Premium / (discount)</t>
  </si>
  <si>
    <t>Net debt / (cash)</t>
  </si>
  <si>
    <t>Forecast Assumptions</t>
  </si>
  <si>
    <t>2027E</t>
  </si>
  <si>
    <t>2028E</t>
  </si>
  <si>
    <t>2029E</t>
  </si>
  <si>
    <t>LFL revenue growth</t>
  </si>
  <si>
    <t>General inflation</t>
  </si>
  <si>
    <t>Gross margin</t>
  </si>
  <si>
    <t>Capex % of sales</t>
  </si>
  <si>
    <t>Target equity weight</t>
  </si>
  <si>
    <t>Target debt weight</t>
  </si>
  <si>
    <t>Historical / Forecast Snapshot</t>
  </si>
  <si>
    <t>Year</t>
  </si>
  <si>
    <t>Sales revenue</t>
  </si>
  <si>
    <t>EBITDA</t>
  </si>
  <si>
    <t>UFCF</t>
  </si>
  <si>
    <t>Assumptions</t>
  </si>
  <si>
    <t>Static Valuation / Model Assumptions</t>
  </si>
  <si>
    <t>Notes</t>
  </si>
  <si>
    <t>Risk-free rate</t>
  </si>
  <si>
    <t>2026 Polish 10-year reference; forward WACC input, May 23, 2026 rate</t>
  </si>
  <si>
    <t>Beta</t>
  </si>
  <si>
    <t>Equity beta input</t>
  </si>
  <si>
    <t>Equity risk premium</t>
  </si>
  <si>
    <t>Market ERP input</t>
  </si>
  <si>
    <t>Terminal growth rate</t>
  </si>
  <si>
    <t>Current share price (PLN)</t>
  </si>
  <si>
    <t>Shares outstanding ('000)</t>
  </si>
  <si>
    <t>Linked to 2025 share count; 2020-2024 were 1/10 of 2025</t>
  </si>
  <si>
    <t>Days in year</t>
  </si>
  <si>
    <t>Used for working capital days</t>
  </si>
  <si>
    <t>Units divisor</t>
  </si>
  <si>
    <t>Used for unit conversions</t>
  </si>
  <si>
    <t>Minimum cash % of sales</t>
  </si>
  <si>
    <t>Interest income rate on average cash</t>
  </si>
  <si>
    <t>Statutory tax rate</t>
  </si>
  <si>
    <t>Historical Market Inputs</t>
  </si>
  <si>
    <t>2020A</t>
  </si>
  <si>
    <t>2021A</t>
  </si>
  <si>
    <t>2022A</t>
  </si>
  <si>
    <t>2023A</t>
  </si>
  <si>
    <t>2024A</t>
  </si>
  <si>
    <t>2025A</t>
  </si>
  <si>
    <t>Source / notes</t>
  </si>
  <si>
    <t>DINO market price / share (PLN)</t>
  </si>
  <si>
    <t>2020-2024 = 1/10 of 2025</t>
  </si>
  <si>
    <t>Market capitalization (PLN '000)</t>
  </si>
  <si>
    <t>Operating Forecast Assumptions</t>
  </si>
  <si>
    <t>Primary revenue driver</t>
  </si>
  <si>
    <t>Store count growth</t>
  </si>
  <si>
    <t>Other operating income % of sales</t>
  </si>
  <si>
    <t>Support ratio</t>
  </si>
  <si>
    <t>D&amp;A % of sales</t>
  </si>
  <si>
    <t>Forecast D&amp;A input</t>
  </si>
  <si>
    <t>Inventory days</t>
  </si>
  <si>
    <t>Receivables days</t>
  </si>
  <si>
    <t>Payables days</t>
  </si>
  <si>
    <t>Fixed Asset Allocation Assumptions</t>
  </si>
  <si>
    <t>PPE / ROU capex allocation</t>
  </si>
  <si>
    <t>Intangible capex allocation</t>
  </si>
  <si>
    <t>PPE / ROU D&amp;A allocation</t>
  </si>
  <si>
    <t>Intangible D&amp;A allocation</t>
  </si>
  <si>
    <t>Debt / Financing Assumptions</t>
  </si>
  <si>
    <t>Bank loan net change</t>
  </si>
  <si>
    <t>Bank loans current % of total</t>
  </si>
  <si>
    <t>Lease liability net change</t>
  </si>
  <si>
    <t>Lease current % of total</t>
  </si>
  <si>
    <t>Bond net change</t>
  </si>
  <si>
    <t>Bonds current % of total</t>
  </si>
  <si>
    <t>Pre-tax cost of interest-bearing debt</t>
  </si>
  <si>
    <t>Trade payables interest rate</t>
  </si>
  <si>
    <t>Other payables interest rate</t>
  </si>
  <si>
    <t>Other financial expense / (income)</t>
  </si>
  <si>
    <t>Other financing / balancing item</t>
  </si>
  <si>
    <t>Dividends / distributions</t>
  </si>
  <si>
    <t>Other investing activities</t>
  </si>
  <si>
    <t>Source Data</t>
  </si>
  <si>
    <t>Historical P&amp;L</t>
  </si>
  <si>
    <t>Item</t>
  </si>
  <si>
    <t>Cost of sales</t>
  </si>
  <si>
    <t>Gross profit on sales</t>
  </si>
  <si>
    <t>Other operating income</t>
  </si>
  <si>
    <t>Sales and marketing expenses</t>
  </si>
  <si>
    <t>General administration expenses</t>
  </si>
  <si>
    <t>Other operating expenses</t>
  </si>
  <si>
    <t>Operating profit</t>
  </si>
  <si>
    <t>Financial income</t>
  </si>
  <si>
    <t>Financial expenses</t>
  </si>
  <si>
    <t>Profit before tax</t>
  </si>
  <si>
    <t>Income tax</t>
  </si>
  <si>
    <t>Net profit</t>
  </si>
  <si>
    <t>Profit attributable to owners of the parent</t>
  </si>
  <si>
    <t>Profit attributable to non-controlling shareholders</t>
  </si>
  <si>
    <t>Historical Balance Sheet</t>
  </si>
  <si>
    <t>Property plant and equipment</t>
  </si>
  <si>
    <t>Right-of-use assets</t>
  </si>
  <si>
    <t>Intangible assets</t>
  </si>
  <si>
    <t>Other non-financial assets (non-current)</t>
  </si>
  <si>
    <t>Deferred tax assets</t>
  </si>
  <si>
    <t>Total non-current assets</t>
  </si>
  <si>
    <t>Inventories</t>
  </si>
  <si>
    <t>Trade and other receivables</t>
  </si>
  <si>
    <t>Income tax receivables</t>
  </si>
  <si>
    <t>Other non-financial assets (current)</t>
  </si>
  <si>
    <t>Other financial assets</t>
  </si>
  <si>
    <t>Cash and cash equivalents</t>
  </si>
  <si>
    <t>Total current assets</t>
  </si>
  <si>
    <t>TOTAL ASSETS</t>
  </si>
  <si>
    <t>Equity (attributable to owners of the parent)</t>
  </si>
  <si>
    <t>Share capital</t>
  </si>
  <si>
    <t>Supplementary capital</t>
  </si>
  <si>
    <t>Retained earnings</t>
  </si>
  <si>
    <t>Other equity</t>
  </si>
  <si>
    <t>Non-controlling interests</t>
  </si>
  <si>
    <t>Total equity</t>
  </si>
  <si>
    <t>Bank loans (non-current)</t>
  </si>
  <si>
    <t>Lease liabilities (non-current)</t>
  </si>
  <si>
    <t>Liabilities by virtue of outstanding bonds (non-current)</t>
  </si>
  <si>
    <t>Obligations to acquire non-controlling interests (non-current)</t>
  </si>
  <si>
    <t>Other liabilities (non-current)</t>
  </si>
  <si>
    <t>Liabilities for employee benefits (non-current)</t>
  </si>
  <si>
    <t>Deferred tax liability (non-current)</t>
  </si>
  <si>
    <t>Accruals and deferred revenue (non-current)</t>
  </si>
  <si>
    <t>Total non-current liabilities</t>
  </si>
  <si>
    <t>Trade and other payables</t>
  </si>
  <si>
    <t>Bank loans (current)</t>
  </si>
  <si>
    <t>Lease liabilities (current)</t>
  </si>
  <si>
    <t>Liabilities by virtue of outstanding bonds (current)</t>
  </si>
  <si>
    <t>Liabilities for employee benefits (current)</t>
  </si>
  <si>
    <t>Income tax liabilities</t>
  </si>
  <si>
    <t>Deferred income (current)</t>
  </si>
  <si>
    <t>Total current liabilities</t>
  </si>
  <si>
    <t>Total liabilities</t>
  </si>
  <si>
    <t>TOTAL EQUITY AND LIABILITIES</t>
  </si>
  <si>
    <t>Historical Cash Flow</t>
  </si>
  <si>
    <t>Depreciation and amortization</t>
  </si>
  <si>
    <t>(Profit)/loss on investment activity</t>
  </si>
  <si>
    <t>Interest income</t>
  </si>
  <si>
    <t>Interest expense</t>
  </si>
  <si>
    <t>Movement in trade receivables and other receivables</t>
  </si>
  <si>
    <t>Movement in inventories</t>
  </si>
  <si>
    <t>Movement in liabilities except for loans and borrowings</t>
  </si>
  <si>
    <t>Income tax paid</t>
  </si>
  <si>
    <t>Net cash from operating activities</t>
  </si>
  <si>
    <t>Sale of property plant and equipment and intangible assets</t>
  </si>
  <si>
    <t>Purchase of property plant and equipment and intangible assets</t>
  </si>
  <si>
    <t>Expenditures to acquire subsidiaries minus cash held by the acquired entities</t>
  </si>
  <si>
    <t>Interest received</t>
  </si>
  <si>
    <t>Repayment of extended borrowings</t>
  </si>
  <si>
    <t>Granting of loans</t>
  </si>
  <si>
    <t>Net cash from investing activities</t>
  </si>
  <si>
    <t>Payments of lease liabilities</t>
  </si>
  <si>
    <t>Bank loan proceeds</t>
  </si>
  <si>
    <t>Amortization of bank loans</t>
  </si>
  <si>
    <t>Issue of debt securities</t>
  </si>
  <si>
    <t>Redemption of bonds</t>
  </si>
  <si>
    <t>Interest paid</t>
  </si>
  <si>
    <t>Net cash from financing activities</t>
  </si>
  <si>
    <t>Net increase in cash</t>
  </si>
  <si>
    <t>Cash at the beginning of the period</t>
  </si>
  <si>
    <t>Cash at the end of the period</t>
  </si>
  <si>
    <t>Historical Operating Metrics</t>
  </si>
  <si>
    <t>Store count (#)</t>
  </si>
  <si>
    <t>Sales area ('000 sqm)</t>
  </si>
  <si>
    <t>Average sales area / store (sqm)</t>
  </si>
  <si>
    <t>Inflation / deflation (%)</t>
  </si>
  <si>
    <t>Dino LfL (%)</t>
  </si>
  <si>
    <t>Historical Market Data</t>
  </si>
  <si>
    <t>Operating Drivers / Revenue Build</t>
  </si>
  <si>
    <t>Formula-driven operating bridge. Forecast revenue is driven by LFL growth; store metrics are operational KPIs.</t>
  </si>
  <si>
    <t>Period</t>
  </si>
  <si>
    <t>Store Roll-Forward &amp; Revenue Build</t>
  </si>
  <si>
    <t>Sales area growth</t>
  </si>
  <si>
    <t>Revenue / store (PLN '000)</t>
  </si>
  <si>
    <t>Revenue / store growth</t>
  </si>
  <si>
    <t>Revenue growth</t>
  </si>
  <si>
    <t>EBITDA margin</t>
  </si>
  <si>
    <t>Operating NWC % of sales</t>
  </si>
  <si>
    <t>Integrated Three-Statement Model</t>
  </si>
  <si>
    <t>All non-input cells are formula-driven from Source Data and Assumptions. Hardcoded values are isolated on Source Data and Assumptions only.</t>
  </si>
  <si>
    <t>Income Statement</t>
  </si>
  <si>
    <t>Gross profit</t>
  </si>
  <si>
    <t>Sales &amp; marketing expenses</t>
  </si>
  <si>
    <t>General &amp; administration expenses</t>
  </si>
  <si>
    <t>D&amp;A expense</t>
  </si>
  <si>
    <t>EBIT</t>
  </si>
  <si>
    <t>Interest expense - debt / leases / bonds</t>
  </si>
  <si>
    <t>Interest expense - trade payables</t>
  </si>
  <si>
    <t>Interest expense - other  payables</t>
  </si>
  <si>
    <t>Total financial expenses</t>
  </si>
  <si>
    <t>Net income</t>
  </si>
  <si>
    <t>Net margin</t>
  </si>
  <si>
    <t>Cash Flow Statement</t>
  </si>
  <si>
    <t>D&amp;A addback</t>
  </si>
  <si>
    <t>Change in NWC &amp; other operating items</t>
  </si>
  <si>
    <t>Cash flow from operating activities</t>
  </si>
  <si>
    <t>Capital expenditures</t>
  </si>
  <si>
    <t>Cash flow from investing activities</t>
  </si>
  <si>
    <t>Debt / lease / bond net change</t>
  </si>
  <si>
    <t>Cash flow from financing activities</t>
  </si>
  <si>
    <t>Net increase / (decrease) in cash</t>
  </si>
  <si>
    <t>Cash at beginning of period</t>
  </si>
  <si>
    <t>Cash at end of period</t>
  </si>
  <si>
    <t>Balance Sheet</t>
  </si>
  <si>
    <t>PPE &amp; ROU assets</t>
  </si>
  <si>
    <t>Other non-current assets</t>
  </si>
  <si>
    <t>Other current assets</t>
  </si>
  <si>
    <t>Total assets</t>
  </si>
  <si>
    <t>Equity</t>
  </si>
  <si>
    <t>Liabilities</t>
  </si>
  <si>
    <t>Bonds (non-current)</t>
  </si>
  <si>
    <t>Employee benefits (non-current)</t>
  </si>
  <si>
    <t>Deferred tax liability</t>
  </si>
  <si>
    <t>Accruals &amp; deferred revenue (non-current)</t>
  </si>
  <si>
    <t>Bonds (current)</t>
  </si>
  <si>
    <t>Employee benefits (current)</t>
  </si>
  <si>
    <t>Other current liabilities / (assets), net</t>
  </si>
  <si>
    <t>Total equity &amp; liabilities</t>
  </si>
  <si>
    <t>Balance check</t>
  </si>
  <si>
    <t>Cash flow check</t>
  </si>
  <si>
    <t>Total interest-bearing debt</t>
  </si>
  <si>
    <t>Net debt</t>
  </si>
  <si>
    <t>Operating net working capital</t>
  </si>
  <si>
    <t>Debt Schedule &amp; WACC</t>
  </si>
  <si>
    <t>Forecast WACC uses explicit target capital structure. Market capitalization is shown as a reference only and does not drive WACC weights.</t>
  </si>
  <si>
    <t>Debt Schedule</t>
  </si>
  <si>
    <t>Average total debt</t>
  </si>
  <si>
    <t>Payables Interest Split</t>
  </si>
  <si>
    <t>Total financial interest expense</t>
  </si>
  <si>
    <t>Interest expense - other</t>
  </si>
  <si>
    <t>Pre-tax cost of debt</t>
  </si>
  <si>
    <t>WACC Calculation</t>
  </si>
  <si>
    <t>Reference market price / share (PLN)</t>
  </si>
  <si>
    <t>Reference market capitalization</t>
  </si>
  <si>
    <t>Enterprise value</t>
  </si>
  <si>
    <t>Tax rate</t>
  </si>
  <si>
    <t>After-tax cost of debt</t>
  </si>
  <si>
    <t>Cost of equity</t>
  </si>
  <si>
    <t>Target equity weight/actual equity weight</t>
  </si>
  <si>
    <t>Target debt weight/actual debt weight</t>
  </si>
  <si>
    <t>DCF Valuation</t>
  </si>
  <si>
    <t>Nominal unlevered DCF with two CapEx scenarios. Scenario 1 continues increasing CapEx; Scenario 2 assumes terminal-year CapEx equals D&amp;A.</t>
  </si>
  <si>
    <t>Terminal</t>
  </si>
  <si>
    <t>Key Valuation Assumptions</t>
  </si>
  <si>
    <t>Unlevered Free Cash Flow</t>
  </si>
  <si>
    <t>Cash taxes on EBIT</t>
  </si>
  <si>
    <t>NOPAT</t>
  </si>
  <si>
    <t>Less: change in operating NWC</t>
  </si>
  <si>
    <t>Unlevered free cash flow</t>
  </si>
  <si>
    <t>Discounting</t>
  </si>
  <si>
    <t>Discount period</t>
  </si>
  <si>
    <t>Discount factor</t>
  </si>
  <si>
    <t>PV of unlevered FCF</t>
  </si>
  <si>
    <t>Terminal value</t>
  </si>
  <si>
    <t>PV of terminal value</t>
  </si>
  <si>
    <t>Valuation Summary — Scenario 1: CapEx Continues Increasing</t>
  </si>
  <si>
    <t>Less: net debt / (net cash)</t>
  </si>
  <si>
    <t>Equity value</t>
  </si>
  <si>
    <t>Implied value / share (PLN)</t>
  </si>
  <si>
    <t>Valuation Summary — Scenario 2: Terminal CapEx = D&amp;A</t>
  </si>
  <si>
    <t>Terminal-year NOPAT</t>
  </si>
  <si>
    <t>Terminal-year D&amp;A</t>
  </si>
  <si>
    <t>Terminal-year CapEx assumption</t>
  </si>
  <si>
    <t>Terminal-year change in NWC</t>
  </si>
  <si>
    <t>Terminal-year UFCF</t>
  </si>
  <si>
    <t>Model Checks</t>
  </si>
  <si>
    <t>All checks should equal zero. This sheet also confirms that DCF and debt schedules tie to source formulas.</t>
  </si>
  <si>
    <t>Balance sheet check</t>
  </si>
  <si>
    <t>Debt schedule tie to 3-stmt</t>
  </si>
  <si>
    <t>Cash tie to debt/WACC</t>
  </si>
  <si>
    <t>DCF WACC source check</t>
  </si>
  <si>
    <t>CapEx growth check</t>
  </si>
  <si>
    <t>Scenario 2 terminal CapEx = D&amp;A check</t>
  </si>
  <si>
    <t>Sensitivity Analysis — Implied Value / Share (PLN)</t>
  </si>
  <si>
    <t>Rows = terminal growth; columns = WACC. Formulas reference the existing DCF and do not change model assumptions.</t>
  </si>
  <si>
    <t>Scenario 1: CapEx Continues Increasing</t>
  </si>
  <si>
    <t>g \ WACC</t>
  </si>
  <si>
    <t>Scenario 2: Terminal CapEx = D&amp;A</t>
  </si>
  <si>
    <t>Summary  of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</si>
</sst>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[Red]\(#,##0.00\);\-"/>
    <numFmt numFmtId="165" formatCode="0.00%;[Red]\(0.00%\);\-"/>
    <numFmt numFmtId="166" formatCode="#,##0;[Red]\(#,##0\);\-"/>
    <numFmt numFmtId="167" formatCode="0.00;[Red]\(0.00\);\-"/>
    <numFmt numFmtId="168" formatCode="0.0%"/>
  </numFmts>
  <fonts count="16">
    <font>
      <sz val="11"/>
      <name val="Carlito"/>
    </font>
    <font>
      <b/>
      <sz val="12"/>
      <color rgb="FFFFFFFF"/>
      <name val="Carlito"/>
    </font>
    <font>
      <i/>
      <sz val="9"/>
      <color rgb="FF666666"/>
      <name val="Carlito"/>
    </font>
    <font>
      <b/>
      <sz val="10"/>
      <color rgb="FF000000"/>
      <name val="Carlito"/>
    </font>
    <font>
      <sz val="10"/>
      <color rgb="FF000000"/>
      <name val="Carlito"/>
    </font>
    <font>
      <b/>
      <sz val="10"/>
      <color rgb="FFFFFFFF"/>
      <name val="Carlito"/>
    </font>
    <font>
      <sz val="10"/>
      <color rgb="FF0000FF"/>
      <name val="Carlito"/>
    </font>
    <font>
      <sz val="10"/>
      <color rgb="FF008000"/>
      <name val="Carlito"/>
    </font>
    <font>
      <b/>
      <sz val="10"/>
      <color rgb="FF008000"/>
      <name val="Carlito"/>
    </font>
    <font>
      <sz val="10"/>
      <color theme="1"/>
      <name val="Carlito"/>
    </font>
    <font>
      <b/>
      <sz val="10"/>
      <name val="Carlito"/>
    </font>
    <font>
      <sz val="11"/>
      <color theme="5"/>
      <name val="Carlito"/>
    </font>
    <font>
      <sz val="10"/>
      <color theme="5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b/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F5A83"/>
      </patternFill>
    </fill>
    <fill>
      <patternFill patternType="solid">
        <fgColor theme="0"/>
      </patternFill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1F4E78"/>
      </patternFill>
    </fill>
  </fills>
  <borders count="11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0" fontId="5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right"/>
    </xf>
    <xf numFmtId="164" fontId="6" fillId="5" borderId="0" xfId="0" applyNumberFormat="1" applyFont="1" applyFill="1" applyAlignment="1">
      <alignment horizontal="right"/>
    </xf>
    <xf numFmtId="165" fontId="6" fillId="5" borderId="0" xfId="0" applyNumberFormat="1" applyFont="1" applyFill="1" applyAlignment="1">
      <alignment horizontal="right"/>
    </xf>
    <xf numFmtId="166" fontId="6" fillId="5" borderId="0" xfId="0" applyNumberFormat="1" applyFont="1" applyFill="1" applyAlignment="1">
      <alignment horizontal="right"/>
    </xf>
    <xf numFmtId="164" fontId="7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165" fontId="8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" fontId="4" fillId="0" borderId="0" xfId="0" applyNumberFormat="1" applyFont="1" applyAlignment="1">
      <alignment horizontal="left"/>
    </xf>
    <xf numFmtId="164" fontId="1" fillId="2" borderId="0" xfId="0" applyNumberFormat="1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left" vertical="center" wrapText="1"/>
    </xf>
    <xf numFmtId="1" fontId="5" fillId="4" borderId="0" xfId="0" applyNumberFormat="1" applyFont="1" applyFill="1" applyAlignment="1">
      <alignment horizontal="center" vertical="center"/>
    </xf>
    <xf numFmtId="2" fontId="6" fillId="5" borderId="0" xfId="0" applyNumberFormat="1" applyFont="1" applyFill="1" applyAlignment="1">
      <alignment horizontal="right"/>
    </xf>
    <xf numFmtId="2" fontId="7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left" wrapText="1"/>
    </xf>
    <xf numFmtId="0" fontId="5" fillId="6" borderId="0" xfId="0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 wrapText="1"/>
    </xf>
    <xf numFmtId="4" fontId="6" fillId="5" borderId="0" xfId="0" applyNumberFormat="1" applyFont="1" applyFill="1" applyAlignment="1">
      <alignment horizontal="right"/>
    </xf>
    <xf numFmtId="1" fontId="7" fillId="0" borderId="0" xfId="0" applyNumberFormat="1" applyFont="1" applyAlignment="1">
      <alignment horizontal="right"/>
    </xf>
    <xf numFmtId="3" fontId="6" fillId="5" borderId="0" xfId="0" applyNumberFormat="1" applyFont="1" applyFill="1" applyAlignment="1">
      <alignment horizontal="right"/>
    </xf>
    <xf numFmtId="166" fontId="8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6" fontId="4" fillId="0" borderId="0" xfId="0" applyNumberFormat="1" applyFont="1" applyAlignment="1">
      <alignment horizontal="left"/>
    </xf>
    <xf numFmtId="166" fontId="3" fillId="0" borderId="1" xfId="0" applyNumberFormat="1" applyFont="1" applyBorder="1" applyAlignment="1">
      <alignment horizontal="left"/>
    </xf>
    <xf numFmtId="166" fontId="9" fillId="0" borderId="0" xfId="0" applyNumberFormat="1" applyFont="1" applyAlignment="1">
      <alignment horizontal="right"/>
    </xf>
    <xf numFmtId="166" fontId="10" fillId="0" borderId="1" xfId="0" applyNumberFormat="1" applyFont="1" applyBorder="1" applyAlignment="1">
      <alignment horizontal="right"/>
    </xf>
    <xf numFmtId="4" fontId="7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6" fontId="11" fillId="7" borderId="0" xfId="0" applyNumberFormat="1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166" fontId="12" fillId="7" borderId="0" xfId="0" applyNumberFormat="1" applyFont="1" applyFill="1" applyAlignment="1">
      <alignment horizontal="right"/>
    </xf>
    <xf numFmtId="166" fontId="0" fillId="0" borderId="0" xfId="0" applyNumberFormat="1"/>
    <xf numFmtId="10" fontId="0" fillId="0" borderId="0" xfId="0" applyNumberFormat="1"/>
    <xf numFmtId="164" fontId="4" fillId="0" borderId="0" xfId="0" applyNumberFormat="1" applyFont="1" applyAlignment="1">
      <alignment vertical="top" wrapText="1"/>
    </xf>
    <xf numFmtId="0" fontId="13" fillId="10" borderId="8" xfId="0" applyFont="1" applyFill="1" applyBorder="1" applyAlignment="1">
      <alignment horizontal="center" vertical="center"/>
    </xf>
    <xf numFmtId="168" fontId="13" fillId="10" borderId="9" xfId="0" applyNumberFormat="1" applyFont="1" applyFill="1" applyBorder="1" applyAlignment="1">
      <alignment horizontal="center" vertical="center"/>
    </xf>
    <xf numFmtId="168" fontId="13" fillId="10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8" fontId="15" fillId="9" borderId="8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68" fontId="15" fillId="9" borderId="5" xfId="0" applyNumberFormat="1" applyFont="1" applyFill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64" fontId="2" fillId="3" borderId="0" xfId="0" applyNumberFormat="1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166" fontId="5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 wrapText="1"/>
    </xf>
    <xf numFmtId="164" fontId="5" fillId="2" borderId="0" xfId="0" applyNumberFormat="1" applyFont="1" applyFill="1" applyAlignment="1">
      <alignment horizontal="left" vertical="center" wrapText="1"/>
    </xf>
    <xf numFmtId="0" fontId="13" fillId="8" borderId="2" xfId="0" applyFont="1" applyFill="1" applyBorder="1" applyAlignment="1">
      <alignment horizontal="left" vertical="center"/>
    </xf>
    <xf numFmtId="0" fontId="13" fillId="8" borderId="3" xfId="0" applyFont="1" applyFill="1" applyBorder="1" applyAlignment="1">
      <alignment horizontal="left" vertical="center"/>
    </xf>
    <xf numFmtId="0" fontId="13" fillId="8" borderId="4" xfId="0" applyFont="1" applyFill="1" applyBorder="1" applyAlignment="1">
      <alignment horizontal="left" vertical="center"/>
    </xf>
    <xf numFmtId="0" fontId="14" fillId="9" borderId="5" xfId="0" applyFont="1" applyFill="1" applyBorder="1" applyAlignment="1">
      <alignment vertical="center" wrapText="1"/>
    </xf>
    <xf numFmtId="0" fontId="14" fillId="9" borderId="6" xfId="0" applyFont="1" applyFill="1" applyBorder="1" applyAlignment="1">
      <alignment vertical="center" wrapText="1"/>
    </xf>
    <xf numFmtId="0" fontId="14" fillId="9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showGridLines="0" tabSelected="1" workbookViewId="0">
      <selection activeCell="A3" sqref="A3:I3"/>
    </sheetView>
  </sheetViews>
  <sheetFormatPr defaultRowHeight="13.8"/>
  <cols>
    <col min="1" max="1" width="34" customWidth="1"/>
    <col min="2" max="4" width="15" customWidth="1"/>
    <col min="5" max="5" width="26" customWidth="1"/>
    <col min="6" max="6" width="14" customWidth="1"/>
    <col min="7" max="7" width="16" customWidth="1"/>
    <col min="8" max="8" width="14" customWidth="1"/>
    <col min="9" max="9" width="28" customWidth="1"/>
    <col min="10" max="12" width="15" customWidth="1"/>
  </cols>
  <sheetData>
    <row r="1" spans="1:12" ht="22.05" customHeight="1">
      <c r="A1" s="59" t="s">
        <v>0</v>
      </c>
      <c r="B1" s="60"/>
      <c r="C1" s="60"/>
      <c r="D1" s="60"/>
      <c r="E1" s="60"/>
      <c r="F1" s="60"/>
      <c r="G1" s="60"/>
      <c r="H1" s="60"/>
      <c r="I1" s="66"/>
      <c r="J1" s="22"/>
      <c r="K1" s="1"/>
      <c r="L1" s="1"/>
    </row>
    <row r="2" spans="1:12" ht="28.05" customHeight="1">
      <c r="A2" s="61" t="s">
        <v>295</v>
      </c>
      <c r="B2" s="62"/>
      <c r="C2" s="62"/>
      <c r="D2" s="62"/>
      <c r="E2" s="62"/>
      <c r="F2" s="62"/>
      <c r="G2" s="62"/>
      <c r="H2" s="62"/>
      <c r="I2" s="62"/>
      <c r="J2" s="23"/>
    </row>
    <row r="3" spans="1:12" ht="19.95" customHeight="1">
      <c r="A3" s="63" t="s">
        <v>1</v>
      </c>
      <c r="B3" s="64"/>
      <c r="C3" s="64"/>
      <c r="D3" s="64"/>
      <c r="E3" s="64"/>
      <c r="F3" s="64"/>
      <c r="G3" s="64"/>
      <c r="H3" s="64"/>
      <c r="I3" s="64"/>
      <c r="J3" s="5"/>
    </row>
    <row r="4" spans="1:12" ht="18" customHeight="1">
      <c r="A4" s="29" t="s">
        <v>2</v>
      </c>
      <c r="B4" s="30" t="s">
        <v>3</v>
      </c>
      <c r="C4" s="30" t="s">
        <v>4</v>
      </c>
      <c r="D4" s="30" t="s">
        <v>5</v>
      </c>
      <c r="E4" s="30"/>
      <c r="F4" s="30" t="s">
        <v>2</v>
      </c>
      <c r="G4" s="30" t="s">
        <v>6</v>
      </c>
      <c r="H4" s="30" t="s">
        <v>7</v>
      </c>
      <c r="I4" s="30"/>
      <c r="J4" s="7"/>
    </row>
    <row r="5" spans="1:12" ht="18" customHeight="1">
      <c r="A5" s="2" t="s">
        <v>8</v>
      </c>
      <c r="B5" s="16">
        <f>'3-Statement Model'!H6</f>
        <v>38662461.172499999</v>
      </c>
      <c r="C5" s="16">
        <f>'3-Statement Model'!L6</f>
        <v>58834683.524279252</v>
      </c>
      <c r="D5" s="13">
        <f>POWER(C5/B5,1/4)-1</f>
        <v>0.11067240343423967</v>
      </c>
      <c r="F5" s="3" t="s">
        <v>9</v>
      </c>
      <c r="G5" s="3">
        <f>'DCF Valuation'!B26</f>
        <v>10.657325751006907</v>
      </c>
      <c r="H5" s="3" t="s">
        <v>10</v>
      </c>
      <c r="I5" s="28"/>
      <c r="J5" s="3"/>
    </row>
    <row r="6" spans="1:12" ht="18" customHeight="1">
      <c r="A6" s="2" t="s">
        <v>11</v>
      </c>
      <c r="B6" s="16">
        <f>'3-Statement Model'!H15</f>
        <v>2612845.2668205015</v>
      </c>
      <c r="C6" s="16">
        <f>'3-Statement Model'!L15</f>
        <v>5158405.185287497</v>
      </c>
      <c r="D6" s="13">
        <f>POWER(C6/B6,1/4)-1</f>
        <v>0.18536047038693848</v>
      </c>
      <c r="F6" s="3" t="s">
        <v>9</v>
      </c>
      <c r="G6" s="3">
        <f>'DCF Valuation'!B38</f>
        <v>40.88433120214669</v>
      </c>
      <c r="H6" s="3" t="s">
        <v>12</v>
      </c>
      <c r="I6" s="28"/>
      <c r="J6" s="3"/>
    </row>
    <row r="7" spans="1:12" ht="18" customHeight="1">
      <c r="A7" s="2" t="s">
        <v>13</v>
      </c>
      <c r="B7" s="13">
        <f>'3-Statement Model'!H19</f>
        <v>5.2580934777090117E-2</v>
      </c>
      <c r="C7" s="13">
        <f>'3-Statement Model'!L19</f>
        <v>7.2676262984550322E-2</v>
      </c>
      <c r="D7" s="13">
        <f>C7-B7</f>
        <v>2.0095328207460204E-2</v>
      </c>
      <c r="F7" s="3" t="s">
        <v>14</v>
      </c>
      <c r="G7" s="3">
        <f>'DCF Valuation'!B27</f>
        <v>32.840000000000003</v>
      </c>
      <c r="H7" s="3"/>
      <c r="I7" s="28"/>
      <c r="J7" s="3"/>
    </row>
    <row r="8" spans="1:12" ht="18" customHeight="1">
      <c r="A8" s="2" t="s">
        <v>15</v>
      </c>
      <c r="B8" s="13">
        <f>'Debt &amp; WACC'!H38</f>
        <v>8.4518850000000006E-2</v>
      </c>
      <c r="C8" s="13">
        <f>'Debt &amp; WACC'!L38</f>
        <v>8.4518850000000006E-2</v>
      </c>
      <c r="D8" s="13">
        <f>C8-B8</f>
        <v>0</v>
      </c>
      <c r="F8" s="3" t="s">
        <v>16</v>
      </c>
      <c r="G8" s="13">
        <f>'DCF Valuation'!B28</f>
        <v>-0.67547729138225021</v>
      </c>
      <c r="H8" s="3" t="s">
        <v>10</v>
      </c>
      <c r="I8" s="28"/>
      <c r="J8" s="3"/>
    </row>
    <row r="9" spans="1:12" ht="18" customHeight="1">
      <c r="A9" s="2" t="s">
        <v>17</v>
      </c>
      <c r="B9" s="16">
        <f>'3-Statement Model'!H89</f>
        <v>-780096.70965941623</v>
      </c>
      <c r="C9" s="16">
        <f>'3-Statement Model'!L89</f>
        <v>-3922811.4436073219</v>
      </c>
      <c r="D9" s="16">
        <f>C9-B9</f>
        <v>-3142714.7339479057</v>
      </c>
      <c r="F9" s="3" t="s">
        <v>16</v>
      </c>
      <c r="G9" s="13">
        <f>'DCF Valuation'!B39</f>
        <v>0.24495527412139717</v>
      </c>
      <c r="H9" s="3" t="s">
        <v>12</v>
      </c>
      <c r="I9" s="28"/>
      <c r="J9" s="3"/>
    </row>
    <row r="10" spans="1:12" ht="18" customHeight="1">
      <c r="A10" s="2"/>
      <c r="B10" s="3"/>
      <c r="C10" s="3"/>
      <c r="D10" s="3"/>
      <c r="E10" s="3"/>
      <c r="F10" s="16"/>
      <c r="G10" s="3"/>
      <c r="H10" s="3"/>
      <c r="I10" s="28"/>
      <c r="J10" s="3"/>
    </row>
    <row r="11" spans="1:12" ht="19.95" customHeight="1">
      <c r="A11" s="63" t="s">
        <v>18</v>
      </c>
      <c r="B11" s="64"/>
      <c r="C11" s="64"/>
      <c r="D11" s="64"/>
      <c r="E11" s="64"/>
      <c r="F11" s="64"/>
      <c r="G11" s="64"/>
      <c r="H11" s="64"/>
      <c r="I11" s="64"/>
      <c r="J11" s="5"/>
    </row>
    <row r="12" spans="1:12" ht="18" customHeight="1">
      <c r="A12" s="29" t="s">
        <v>2</v>
      </c>
      <c r="B12" s="30" t="s">
        <v>3</v>
      </c>
      <c r="C12" s="30" t="s">
        <v>19</v>
      </c>
      <c r="D12" s="30" t="s">
        <v>20</v>
      </c>
      <c r="E12" s="30" t="s">
        <v>21</v>
      </c>
      <c r="F12" s="30" t="s">
        <v>4</v>
      </c>
      <c r="G12" s="7"/>
      <c r="H12" s="7"/>
      <c r="I12" s="7"/>
      <c r="J12" s="7"/>
    </row>
    <row r="13" spans="1:12">
      <c r="A13" s="2" t="s">
        <v>22</v>
      </c>
      <c r="B13" s="13">
        <f>Assumptions!B26</f>
        <v>0.14949999999999999</v>
      </c>
      <c r="C13" s="13">
        <f>Assumptions!C26</f>
        <v>0.1336</v>
      </c>
      <c r="D13" s="13">
        <f>Assumptions!D26</f>
        <v>0.1178</v>
      </c>
      <c r="E13" s="13">
        <f>Assumptions!E26</f>
        <v>0.1021</v>
      </c>
      <c r="F13" s="13">
        <f>Assumptions!F26</f>
        <v>8.9679999999999996E-2</v>
      </c>
      <c r="G13" s="3"/>
      <c r="H13" s="3"/>
      <c r="I13" s="3"/>
      <c r="J13" s="3"/>
    </row>
    <row r="14" spans="1:12">
      <c r="A14" s="2" t="s">
        <v>23</v>
      </c>
      <c r="B14" s="13">
        <f>Assumptions!B27</f>
        <v>0.04</v>
      </c>
      <c r="C14" s="13">
        <f>Assumptions!C27</f>
        <v>3.5000000000000003E-2</v>
      </c>
      <c r="D14" s="13">
        <f>Assumptions!D27</f>
        <v>0.03</v>
      </c>
      <c r="E14" s="13">
        <f>Assumptions!E27</f>
        <v>2.75E-2</v>
      </c>
      <c r="F14" s="13">
        <f>Assumptions!F27</f>
        <v>2.5000000000000001E-2</v>
      </c>
      <c r="G14" s="3"/>
      <c r="H14" s="3"/>
      <c r="I14" s="3"/>
      <c r="J14" s="3"/>
    </row>
    <row r="15" spans="1:12">
      <c r="A15" s="2" t="s">
        <v>24</v>
      </c>
      <c r="B15" s="13">
        <f>Assumptions!B28</f>
        <v>0.23699999999999999</v>
      </c>
      <c r="C15" s="13">
        <f>Assumptions!C28</f>
        <v>0.23799999999999999</v>
      </c>
      <c r="D15" s="13">
        <f>Assumptions!D28</f>
        <v>0.23899999999999999</v>
      </c>
      <c r="E15" s="13">
        <f>Assumptions!E28</f>
        <v>0.24</v>
      </c>
      <c r="F15" s="13">
        <f>Assumptions!F28</f>
        <v>0.24</v>
      </c>
      <c r="G15" s="3"/>
      <c r="H15" s="3"/>
      <c r="I15" s="3"/>
      <c r="J15" s="3"/>
    </row>
    <row r="16" spans="1:12">
      <c r="A16" s="2" t="s">
        <v>25</v>
      </c>
      <c r="B16" s="13">
        <f>Assumptions!B32</f>
        <v>6.3E-2</v>
      </c>
      <c r="C16" s="13">
        <f>Assumptions!C32</f>
        <v>6.0999999999999999E-2</v>
      </c>
      <c r="D16" s="13">
        <f>Assumptions!D32</f>
        <v>5.8999999999999997E-2</v>
      </c>
      <c r="E16" s="13">
        <f>Assumptions!E32</f>
        <v>5.7000000000000002E-2</v>
      </c>
      <c r="F16" s="13">
        <f>Assumptions!F32</f>
        <v>5.5E-2</v>
      </c>
      <c r="G16" s="3"/>
      <c r="H16" s="3"/>
      <c r="I16" s="3"/>
      <c r="J16" s="3"/>
    </row>
    <row r="17" spans="1:10">
      <c r="A17" s="2" t="s">
        <v>26</v>
      </c>
      <c r="B17" s="13">
        <f>Assumptions!B16</f>
        <v>0.95</v>
      </c>
      <c r="C17" s="13">
        <f>Assumptions!B16</f>
        <v>0.95</v>
      </c>
      <c r="D17" s="13">
        <f>Assumptions!B16</f>
        <v>0.95</v>
      </c>
      <c r="E17" s="13">
        <f>Assumptions!B16</f>
        <v>0.95</v>
      </c>
      <c r="F17" s="13">
        <f>Assumptions!B16</f>
        <v>0.95</v>
      </c>
      <c r="G17" s="3"/>
      <c r="H17" s="3"/>
      <c r="I17" s="3"/>
      <c r="J17" s="3"/>
    </row>
    <row r="18" spans="1:10">
      <c r="A18" s="2" t="s">
        <v>27</v>
      </c>
      <c r="B18" s="13">
        <f>Assumptions!B17</f>
        <v>5.0000000000000044E-2</v>
      </c>
      <c r="C18" s="13">
        <f>Assumptions!B17</f>
        <v>5.0000000000000044E-2</v>
      </c>
      <c r="D18" s="13">
        <f>Assumptions!B17</f>
        <v>5.0000000000000044E-2</v>
      </c>
      <c r="E18" s="13">
        <f>Assumptions!B17</f>
        <v>5.0000000000000044E-2</v>
      </c>
      <c r="F18" s="13">
        <f>Assumptions!B17</f>
        <v>5.0000000000000044E-2</v>
      </c>
      <c r="G18" s="3"/>
      <c r="H18" s="3"/>
      <c r="I18" s="3"/>
      <c r="J18" s="3"/>
    </row>
    <row r="19" spans="1:10" ht="19.95" customHeight="1">
      <c r="A19" s="63" t="s">
        <v>28</v>
      </c>
      <c r="B19" s="64"/>
      <c r="C19" s="64"/>
      <c r="D19" s="64"/>
      <c r="E19" s="64"/>
      <c r="F19" s="64"/>
      <c r="G19" s="64"/>
      <c r="H19" s="64"/>
      <c r="I19" s="64"/>
      <c r="J19" s="5"/>
    </row>
    <row r="20" spans="1:10" ht="18" customHeight="1">
      <c r="A20" s="29" t="s">
        <v>29</v>
      </c>
      <c r="B20" s="30" t="s">
        <v>30</v>
      </c>
      <c r="C20" s="30" t="s">
        <v>31</v>
      </c>
      <c r="D20" s="30" t="s">
        <v>13</v>
      </c>
      <c r="E20" s="30" t="s">
        <v>32</v>
      </c>
      <c r="F20" s="30" t="s">
        <v>15</v>
      </c>
      <c r="G20" s="7"/>
      <c r="H20" s="7"/>
      <c r="I20" s="7"/>
      <c r="J20" s="7"/>
    </row>
    <row r="21" spans="1:10">
      <c r="A21" s="21">
        <v>2020</v>
      </c>
      <c r="B21" s="16">
        <f>'3-Statement Model'!B6</f>
        <v>10125815</v>
      </c>
      <c r="C21" s="16">
        <f>'3-Statement Model'!B15</f>
        <v>837859</v>
      </c>
      <c r="D21" s="13">
        <f>'3-Statement Model'!B19</f>
        <v>6.3176445550308796E-2</v>
      </c>
      <c r="E21" s="3"/>
      <c r="F21" s="13">
        <f>'Debt &amp; WACC'!B38</f>
        <v>3.2191038414489212E-2</v>
      </c>
      <c r="G21" s="3"/>
      <c r="H21" s="3"/>
      <c r="I21" s="3"/>
      <c r="J21" s="3"/>
    </row>
    <row r="22" spans="1:10">
      <c r="A22" s="21">
        <v>2021</v>
      </c>
      <c r="B22" s="16">
        <f>'3-Statement Model'!C6</f>
        <v>13362012</v>
      </c>
      <c r="C22" s="16">
        <f>'3-Statement Model'!C15</f>
        <v>1023993</v>
      </c>
      <c r="D22" s="13">
        <f>'3-Statement Model'!C19</f>
        <v>5.8123731665560549E-2</v>
      </c>
      <c r="E22" s="3"/>
      <c r="F22" s="13">
        <f>'Debt &amp; WACC'!C38</f>
        <v>3.6203272358415937E-2</v>
      </c>
      <c r="G22" s="3"/>
      <c r="H22" s="3"/>
      <c r="I22" s="3"/>
      <c r="J22" s="3"/>
    </row>
    <row r="23" spans="1:10">
      <c r="A23" s="21">
        <v>2022</v>
      </c>
      <c r="B23" s="16">
        <f>'3-Statement Model'!D6</f>
        <v>19801622</v>
      </c>
      <c r="C23" s="16">
        <f>'3-Statement Model'!D15</f>
        <v>1537819</v>
      </c>
      <c r="D23" s="13">
        <f>'3-Statement Model'!D19</f>
        <v>6.2504475643459914E-2</v>
      </c>
      <c r="E23" s="3"/>
      <c r="F23" s="13">
        <f>'Debt &amp; WACC'!D38</f>
        <v>7.9988476570337058E-2</v>
      </c>
      <c r="G23" s="3"/>
      <c r="H23" s="3"/>
      <c r="I23" s="3"/>
      <c r="J23" s="3"/>
    </row>
    <row r="24" spans="1:10">
      <c r="A24" s="21">
        <v>2023</v>
      </c>
      <c r="B24" s="16">
        <f>'3-Statement Model'!E6</f>
        <v>25666255</v>
      </c>
      <c r="C24" s="16">
        <f>'3-Statement Model'!E15</f>
        <v>1875855</v>
      </c>
      <c r="D24" s="13">
        <f>'3-Statement Model'!E19</f>
        <v>5.918381937684325E-2</v>
      </c>
      <c r="E24" s="3"/>
      <c r="F24" s="13">
        <f>'Debt &amp; WACC'!E38</f>
        <v>8.2561058881058719E-2</v>
      </c>
      <c r="G24" s="3"/>
      <c r="H24" s="3"/>
      <c r="I24" s="3"/>
      <c r="J24" s="3"/>
    </row>
    <row r="25" spans="1:10">
      <c r="A25" s="21">
        <v>2024</v>
      </c>
      <c r="B25" s="16">
        <f>'3-Statement Model'!F6</f>
        <v>29273792</v>
      </c>
      <c r="C25" s="16">
        <f>'3-Statement Model'!F15</f>
        <v>1908330</v>
      </c>
      <c r="D25" s="13">
        <f>'3-Statement Model'!F19</f>
        <v>5.1211370224943868E-2</v>
      </c>
      <c r="E25" s="3"/>
      <c r="F25" s="13">
        <f>'Debt &amp; WACC'!F38</f>
        <v>8.050458291712749E-2</v>
      </c>
      <c r="G25" s="3"/>
      <c r="H25" s="3"/>
      <c r="I25" s="3"/>
      <c r="J25" s="3"/>
    </row>
    <row r="26" spans="1:10">
      <c r="A26" s="21">
        <v>2025</v>
      </c>
      <c r="B26" s="16">
        <f>'3-Statement Model'!G6</f>
        <v>33634155</v>
      </c>
      <c r="C26" s="16">
        <f>'3-Statement Model'!G15</f>
        <v>2041282</v>
      </c>
      <c r="D26" s="13">
        <f>'3-Statement Model'!G19</f>
        <v>4.5675326167700661E-2</v>
      </c>
      <c r="E26" s="3"/>
      <c r="F26" s="13">
        <f>'Debt &amp; WACC'!G38</f>
        <v>8.0380149260698003E-2</v>
      </c>
      <c r="G26" s="3"/>
      <c r="H26" s="3"/>
      <c r="I26" s="3"/>
      <c r="J26" s="3"/>
    </row>
    <row r="27" spans="1:10">
      <c r="A27" s="21">
        <v>2026</v>
      </c>
      <c r="B27" s="16">
        <f>'3-Statement Model'!H6</f>
        <v>38662461.172499999</v>
      </c>
      <c r="C27" s="16">
        <f>'3-Statement Model'!H15</f>
        <v>2612845.2668205015</v>
      </c>
      <c r="D27" s="13">
        <f>'3-Statement Model'!H19</f>
        <v>5.2580934777090117E-2</v>
      </c>
      <c r="E27" s="16">
        <f>'DCF Valuation'!B14</f>
        <v>-1069990.6365519539</v>
      </c>
      <c r="F27" s="13">
        <f>'Debt &amp; WACC'!H38</f>
        <v>8.4518850000000006E-2</v>
      </c>
      <c r="G27" s="3"/>
      <c r="H27" s="3"/>
      <c r="I27" s="3"/>
      <c r="J27" s="3"/>
    </row>
    <row r="28" spans="1:10">
      <c r="A28" s="21">
        <v>2027</v>
      </c>
      <c r="B28" s="16">
        <f>'3-Statement Model'!I6</f>
        <v>43827765.985145994</v>
      </c>
      <c r="C28" s="16">
        <f>'3-Statement Model'!I15</f>
        <v>3217465.4964528619</v>
      </c>
      <c r="D28" s="13">
        <f>'3-Statement Model'!I19</f>
        <v>5.8411578804708361E-2</v>
      </c>
      <c r="E28" s="16">
        <f>'DCF Valuation'!C14</f>
        <v>-240717.9390023523</v>
      </c>
      <c r="F28" s="13">
        <f>'Debt &amp; WACC'!I38</f>
        <v>8.4518850000000006E-2</v>
      </c>
      <c r="G28" s="3"/>
      <c r="H28" s="3"/>
      <c r="I28" s="3"/>
      <c r="J28" s="3"/>
    </row>
    <row r="29" spans="1:10">
      <c r="A29" s="21">
        <v>2028</v>
      </c>
      <c r="B29" s="16">
        <f>'3-Statement Model'!J6</f>
        <v>48990676.818196185</v>
      </c>
      <c r="C29" s="16">
        <f>'3-Statement Model'!J15</f>
        <v>3867830.218507444</v>
      </c>
      <c r="D29" s="13">
        <f>'3-Statement Model'!J19</f>
        <v>6.3950332383872044E-2</v>
      </c>
      <c r="E29" s="16">
        <f>'DCF Valuation'!D14</f>
        <v>85687.822768537793</v>
      </c>
      <c r="F29" s="13">
        <f>'Debt &amp; WACC'!J38</f>
        <v>8.4518850000000006E-2</v>
      </c>
      <c r="G29" s="3"/>
      <c r="H29" s="3"/>
      <c r="I29" s="3"/>
      <c r="J29" s="3"/>
    </row>
    <row r="30" spans="1:10">
      <c r="A30" s="21">
        <v>2029</v>
      </c>
      <c r="B30" s="16">
        <f>'3-Statement Model'!K6</f>
        <v>53992624.921334021</v>
      </c>
      <c r="C30" s="16">
        <f>'3-Statement Model'!K15</f>
        <v>4528471.9004021855</v>
      </c>
      <c r="D30" s="13">
        <f>'3-Statement Model'!K19</f>
        <v>6.8872045617342406E-2</v>
      </c>
      <c r="E30" s="16">
        <f>'DCF Valuation'!E14</f>
        <v>457508.68966570916</v>
      </c>
      <c r="F30" s="13">
        <f>'Debt &amp; WACC'!K38</f>
        <v>8.4518850000000006E-2</v>
      </c>
      <c r="G30" s="3"/>
      <c r="H30" s="3"/>
      <c r="I30" s="3"/>
      <c r="J30" s="3"/>
    </row>
    <row r="31" spans="1:10">
      <c r="A31" s="21">
        <v>2030</v>
      </c>
      <c r="B31" s="16">
        <f>'3-Statement Model'!L6</f>
        <v>58834683.524279252</v>
      </c>
      <c r="C31" s="16">
        <f>'3-Statement Model'!L15</f>
        <v>5158405.185287497</v>
      </c>
      <c r="D31" s="13">
        <f>'3-Statement Model'!L19</f>
        <v>7.2676262984550322E-2</v>
      </c>
      <c r="E31" s="16">
        <f>'DCF Valuation'!F14</f>
        <v>832829.50648815604</v>
      </c>
      <c r="F31" s="13">
        <f>'Debt &amp; WACC'!L38</f>
        <v>8.4518850000000006E-2</v>
      </c>
      <c r="G31" s="3"/>
      <c r="H31" s="3"/>
      <c r="I31" s="3"/>
      <c r="J31" s="3"/>
    </row>
  </sheetData>
  <mergeCells count="5">
    <mergeCell ref="A1:I1"/>
    <mergeCell ref="A2:I2"/>
    <mergeCell ref="A3:I3"/>
    <mergeCell ref="A11:I11"/>
    <mergeCell ref="A19:I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showGridLines="0" topLeftCell="A36" zoomScale="74" workbookViewId="0">
      <selection activeCell="A24" sqref="A24:H24"/>
    </sheetView>
  </sheetViews>
  <sheetFormatPr defaultRowHeight="13.8"/>
  <cols>
    <col min="1" max="1" width="38" customWidth="1"/>
    <col min="2" max="7" width="13" customWidth="1"/>
    <col min="8" max="8" width="55" customWidth="1"/>
  </cols>
  <sheetData>
    <row r="1" spans="1:8" ht="22.05" customHeight="1">
      <c r="A1" s="59" t="s">
        <v>33</v>
      </c>
      <c r="B1" s="60"/>
      <c r="C1" s="60"/>
      <c r="D1" s="60"/>
      <c r="E1" s="60"/>
      <c r="F1" s="60"/>
      <c r="G1" s="60"/>
      <c r="H1" s="66"/>
    </row>
    <row r="2" spans="1:8" ht="30" customHeight="1">
      <c r="A2" s="61"/>
      <c r="B2" s="62"/>
      <c r="C2" s="62"/>
      <c r="D2" s="62"/>
      <c r="E2" s="62"/>
      <c r="F2" s="62"/>
      <c r="G2" s="62"/>
      <c r="H2" s="62"/>
    </row>
    <row r="3" spans="1:8" ht="18" customHeight="1">
      <c r="A3" s="63" t="s">
        <v>34</v>
      </c>
      <c r="B3" s="64"/>
      <c r="C3" s="64"/>
      <c r="D3" s="64"/>
      <c r="E3" s="64"/>
      <c r="F3" s="64"/>
      <c r="G3" s="64"/>
      <c r="H3" s="64"/>
    </row>
    <row r="4" spans="1:8" ht="18" customHeight="1">
      <c r="A4" s="29" t="s">
        <v>2</v>
      </c>
      <c r="B4" s="30" t="s">
        <v>6</v>
      </c>
      <c r="C4" s="30"/>
      <c r="D4" s="30"/>
      <c r="E4" s="30"/>
      <c r="F4" s="30"/>
      <c r="G4" s="30"/>
      <c r="H4" s="30" t="s">
        <v>35</v>
      </c>
    </row>
    <row r="5" spans="1:8">
      <c r="A5" s="2" t="s">
        <v>36</v>
      </c>
      <c r="B5" s="10">
        <v>5.8799999999999998E-2</v>
      </c>
      <c r="C5" s="10"/>
      <c r="D5" s="10"/>
      <c r="E5" s="10"/>
      <c r="F5" s="10"/>
      <c r="G5" s="10"/>
      <c r="H5" s="28" t="s">
        <v>37</v>
      </c>
    </row>
    <row r="6" spans="1:8">
      <c r="A6" s="2" t="s">
        <v>38</v>
      </c>
      <c r="B6" s="32">
        <v>0.51</v>
      </c>
      <c r="C6" s="10"/>
      <c r="D6" s="10"/>
      <c r="E6" s="10"/>
      <c r="F6" s="10"/>
      <c r="G6" s="10"/>
      <c r="H6" s="28" t="s">
        <v>39</v>
      </c>
    </row>
    <row r="7" spans="1:8">
      <c r="A7" s="2" t="s">
        <v>40</v>
      </c>
      <c r="B7" s="10">
        <v>5.33E-2</v>
      </c>
      <c r="C7" s="10"/>
      <c r="D7" s="10"/>
      <c r="E7" s="10"/>
      <c r="F7" s="10"/>
      <c r="G7" s="10"/>
      <c r="H7" s="28" t="s">
        <v>41</v>
      </c>
    </row>
    <row r="8" spans="1:8">
      <c r="A8" s="2" t="s">
        <v>42</v>
      </c>
      <c r="B8" s="10">
        <v>0.03</v>
      </c>
      <c r="C8" s="10"/>
      <c r="D8" s="10"/>
      <c r="E8" s="10"/>
      <c r="F8" s="10"/>
      <c r="G8" s="10"/>
      <c r="H8" s="28"/>
    </row>
    <row r="9" spans="1:8" ht="18" customHeight="1">
      <c r="A9" s="2" t="s">
        <v>43</v>
      </c>
      <c r="B9" s="32">
        <f>'Source Data'!H100</f>
        <v>32.840000000000003</v>
      </c>
      <c r="C9" s="9"/>
      <c r="D9" s="9"/>
      <c r="E9" s="9"/>
      <c r="F9" s="9"/>
      <c r="G9" s="9"/>
      <c r="H9" s="28"/>
    </row>
    <row r="10" spans="1:8">
      <c r="A10" s="2" t="s">
        <v>44</v>
      </c>
      <c r="B10" s="34">
        <f>'Source Data'!G97</f>
        <v>980400</v>
      </c>
      <c r="C10" s="9"/>
      <c r="D10" s="9"/>
      <c r="E10" s="9"/>
      <c r="F10" s="9"/>
      <c r="G10" s="9"/>
      <c r="H10" s="28" t="s">
        <v>45</v>
      </c>
    </row>
    <row r="11" spans="1:8">
      <c r="A11" s="2" t="s">
        <v>46</v>
      </c>
      <c r="B11" s="9">
        <v>365</v>
      </c>
      <c r="C11" s="9"/>
      <c r="D11" s="9"/>
      <c r="E11" s="9"/>
      <c r="F11" s="9"/>
      <c r="G11" s="9"/>
      <c r="H11" s="28" t="s">
        <v>47</v>
      </c>
    </row>
    <row r="12" spans="1:8">
      <c r="A12" s="2" t="s">
        <v>48</v>
      </c>
      <c r="B12" s="9">
        <v>1000</v>
      </c>
      <c r="C12" s="9"/>
      <c r="D12" s="9"/>
      <c r="E12" s="9"/>
      <c r="F12" s="9"/>
      <c r="G12" s="9"/>
      <c r="H12" s="28" t="s">
        <v>49</v>
      </c>
    </row>
    <row r="13" spans="1:8">
      <c r="A13" s="2" t="s">
        <v>50</v>
      </c>
      <c r="B13" s="10">
        <v>0.02</v>
      </c>
      <c r="C13" s="10"/>
      <c r="D13" s="10"/>
      <c r="E13" s="10"/>
      <c r="F13" s="10"/>
      <c r="G13" s="10"/>
      <c r="H13" s="28"/>
    </row>
    <row r="14" spans="1:8">
      <c r="A14" s="2" t="s">
        <v>51</v>
      </c>
      <c r="B14" s="10">
        <v>0.02</v>
      </c>
      <c r="C14" s="10"/>
      <c r="D14" s="10"/>
      <c r="E14" s="10"/>
      <c r="F14" s="10"/>
      <c r="G14" s="10"/>
      <c r="H14" s="28"/>
    </row>
    <row r="15" spans="1:8">
      <c r="A15" s="2" t="s">
        <v>52</v>
      </c>
      <c r="B15" s="10">
        <v>0.19</v>
      </c>
      <c r="C15" s="10"/>
      <c r="D15" s="10"/>
      <c r="E15" s="10"/>
      <c r="F15" s="10"/>
      <c r="G15" s="10"/>
      <c r="H15" s="28"/>
    </row>
    <row r="16" spans="1:8">
      <c r="A16" s="2" t="s">
        <v>26</v>
      </c>
      <c r="B16" s="10">
        <v>0.95</v>
      </c>
      <c r="C16" s="10"/>
      <c r="D16" s="10"/>
      <c r="E16" s="10"/>
      <c r="F16" s="10"/>
      <c r="G16" s="10"/>
      <c r="H16" s="28"/>
    </row>
    <row r="17" spans="1:8">
      <c r="A17" s="2" t="s">
        <v>27</v>
      </c>
      <c r="B17" s="10">
        <f>1-B16</f>
        <v>5.0000000000000044E-2</v>
      </c>
      <c r="C17" s="10"/>
      <c r="D17" s="10"/>
      <c r="E17" s="10"/>
      <c r="F17" s="10"/>
      <c r="G17" s="10"/>
      <c r="H17" s="28"/>
    </row>
    <row r="18" spans="1:8" ht="18" customHeight="1">
      <c r="A18" s="63" t="s">
        <v>53</v>
      </c>
      <c r="B18" s="64"/>
      <c r="C18" s="64"/>
      <c r="D18" s="64"/>
      <c r="E18" s="64"/>
      <c r="F18" s="64"/>
      <c r="G18" s="64"/>
      <c r="H18" s="67"/>
    </row>
    <row r="19" spans="1:8" ht="18" customHeight="1">
      <c r="A19" s="29" t="s">
        <v>2</v>
      </c>
      <c r="B19" s="30" t="s">
        <v>54</v>
      </c>
      <c r="C19" s="30" t="s">
        <v>55</v>
      </c>
      <c r="D19" s="30" t="s">
        <v>56</v>
      </c>
      <c r="E19" s="30" t="s">
        <v>57</v>
      </c>
      <c r="F19" s="30" t="s">
        <v>58</v>
      </c>
      <c r="G19" s="30" t="s">
        <v>59</v>
      </c>
      <c r="H19" s="31" t="s">
        <v>60</v>
      </c>
    </row>
    <row r="20" spans="1:8">
      <c r="A20" s="2" t="s">
        <v>61</v>
      </c>
      <c r="B20" s="33">
        <f>'Source Data'!B100</f>
        <v>200</v>
      </c>
      <c r="C20" s="33">
        <f>'Source Data'!C100</f>
        <v>300</v>
      </c>
      <c r="D20" s="33">
        <f>'Source Data'!D100</f>
        <v>330</v>
      </c>
      <c r="E20" s="33">
        <f>'Source Data'!E100</f>
        <v>420</v>
      </c>
      <c r="F20" s="33">
        <f>'Source Data'!F100</f>
        <v>400</v>
      </c>
      <c r="G20" s="33">
        <f>'Source Data'!G100</f>
        <v>43</v>
      </c>
      <c r="H20" s="28"/>
    </row>
    <row r="21" spans="1:8">
      <c r="A21" s="2" t="s">
        <v>36</v>
      </c>
      <c r="B21" s="14">
        <f>'Source Data'!B101</f>
        <v>1.4999999999999999E-2</v>
      </c>
      <c r="C21" s="14">
        <f>'Source Data'!C101</f>
        <v>1.9400000000000001E-2</v>
      </c>
      <c r="D21" s="14">
        <f>'Source Data'!D101</f>
        <v>6.0499999999999998E-2</v>
      </c>
      <c r="E21" s="14">
        <f>'Source Data'!E101</f>
        <v>5.8099999999999999E-2</v>
      </c>
      <c r="F21" s="14">
        <f>'Source Data'!F101</f>
        <v>5.5300000000000002E-2</v>
      </c>
      <c r="G21" s="14">
        <f>'Source Data'!G101</f>
        <v>5.5E-2</v>
      </c>
      <c r="H21" s="28"/>
    </row>
    <row r="22" spans="1:8">
      <c r="A22" s="2" t="s">
        <v>44</v>
      </c>
      <c r="B22" s="15">
        <f>'Source Data'!B97</f>
        <v>98040</v>
      </c>
      <c r="C22" s="15">
        <f>'Source Data'!C97</f>
        <v>98040</v>
      </c>
      <c r="D22" s="15">
        <f>'Source Data'!D97</f>
        <v>98040</v>
      </c>
      <c r="E22" s="15">
        <f>'Source Data'!E97</f>
        <v>98040</v>
      </c>
      <c r="F22" s="15">
        <f>'Source Data'!F97</f>
        <v>98040</v>
      </c>
      <c r="G22" s="15">
        <f>'Source Data'!G97</f>
        <v>980400</v>
      </c>
      <c r="H22" s="48" t="s">
        <v>62</v>
      </c>
    </row>
    <row r="23" spans="1:8">
      <c r="A23" s="2" t="s">
        <v>63</v>
      </c>
      <c r="B23" s="16">
        <f>B20*B22</f>
        <v>19608000</v>
      </c>
      <c r="C23" s="16">
        <f>C20*C22</f>
        <v>29412000</v>
      </c>
      <c r="D23" s="16">
        <f>D20*D22</f>
        <v>32353200</v>
      </c>
      <c r="E23" s="16">
        <f>E20*E22</f>
        <v>41176800</v>
      </c>
      <c r="F23" s="16">
        <f>F20*F22</f>
        <v>39216000</v>
      </c>
      <c r="G23" s="16">
        <f>G20*G22</f>
        <v>42157200</v>
      </c>
      <c r="H23" s="28"/>
    </row>
    <row r="24" spans="1:8" ht="18" customHeight="1">
      <c r="A24" s="63" t="s">
        <v>64</v>
      </c>
      <c r="B24" s="64"/>
      <c r="C24" s="64"/>
      <c r="D24" s="64"/>
      <c r="E24" s="64"/>
      <c r="F24" s="64"/>
      <c r="G24" s="64"/>
      <c r="H24" s="67"/>
    </row>
    <row r="25" spans="1:8" ht="18" customHeight="1">
      <c r="A25" s="29" t="s">
        <v>2</v>
      </c>
      <c r="B25" s="30" t="s">
        <v>3</v>
      </c>
      <c r="C25" s="30" t="s">
        <v>19</v>
      </c>
      <c r="D25" s="30" t="s">
        <v>20</v>
      </c>
      <c r="E25" s="30" t="s">
        <v>21</v>
      </c>
      <c r="F25" s="30" t="s">
        <v>4</v>
      </c>
      <c r="G25" s="30"/>
      <c r="H25" s="31" t="s">
        <v>60</v>
      </c>
    </row>
    <row r="26" spans="1:8">
      <c r="A26" s="2" t="s">
        <v>22</v>
      </c>
      <c r="B26" s="10">
        <v>0.14949999999999999</v>
      </c>
      <c r="C26" s="10">
        <v>0.1336</v>
      </c>
      <c r="D26" s="10">
        <v>0.1178</v>
      </c>
      <c r="E26" s="10">
        <v>0.1021</v>
      </c>
      <c r="F26" s="10">
        <v>8.9679999999999996E-2</v>
      </c>
      <c r="G26" s="10"/>
      <c r="H26" s="28" t="s">
        <v>65</v>
      </c>
    </row>
    <row r="27" spans="1:8">
      <c r="A27" s="2" t="s">
        <v>23</v>
      </c>
      <c r="B27" s="10">
        <v>0.04</v>
      </c>
      <c r="C27" s="10">
        <v>3.5000000000000003E-2</v>
      </c>
      <c r="D27" s="10">
        <v>0.03</v>
      </c>
      <c r="E27" s="10">
        <v>2.75E-2</v>
      </c>
      <c r="F27" s="10">
        <v>2.5000000000000001E-2</v>
      </c>
      <c r="G27" s="10"/>
      <c r="H27" s="28"/>
    </row>
    <row r="28" spans="1:8">
      <c r="A28" s="2" t="s">
        <v>24</v>
      </c>
      <c r="B28" s="10">
        <v>0.23699999999999999</v>
      </c>
      <c r="C28" s="10">
        <v>0.23799999999999999</v>
      </c>
      <c r="D28" s="10">
        <v>0.23899999999999999</v>
      </c>
      <c r="E28" s="10">
        <v>0.24</v>
      </c>
      <c r="F28" s="10">
        <v>0.24</v>
      </c>
      <c r="G28" s="10"/>
      <c r="H28" s="28"/>
    </row>
    <row r="29" spans="1:8">
      <c r="A29" s="2" t="s">
        <v>66</v>
      </c>
      <c r="B29" s="10">
        <v>0.1</v>
      </c>
      <c r="C29" s="10">
        <v>0.09</v>
      </c>
      <c r="D29" s="10">
        <v>0.08</v>
      </c>
      <c r="E29" s="10">
        <v>7.0000000000000007E-2</v>
      </c>
      <c r="F29" s="10">
        <v>0.06</v>
      </c>
      <c r="G29" s="10"/>
      <c r="H29" s="28"/>
    </row>
    <row r="30" spans="1:8">
      <c r="A30" s="2" t="s">
        <v>67</v>
      </c>
      <c r="B30" s="10">
        <v>8.0000000000000004E-4</v>
      </c>
      <c r="C30" s="10">
        <v>8.0000000000000004E-4</v>
      </c>
      <c r="D30" s="10">
        <v>8.0000000000000004E-4</v>
      </c>
      <c r="E30" s="10">
        <v>8.0000000000000004E-4</v>
      </c>
      <c r="F30" s="10">
        <v>8.0000000000000004E-4</v>
      </c>
      <c r="G30" s="10"/>
      <c r="H30" s="28" t="s">
        <v>68</v>
      </c>
    </row>
    <row r="31" spans="1:8">
      <c r="A31" s="2" t="s">
        <v>69</v>
      </c>
      <c r="B31" s="10">
        <v>1.4999999999999999E-2</v>
      </c>
      <c r="C31" s="10">
        <v>1.4999999999999999E-2</v>
      </c>
      <c r="D31" s="10">
        <v>1.4999999999999999E-2</v>
      </c>
      <c r="E31" s="10">
        <v>1.4999999999999999E-2</v>
      </c>
      <c r="F31" s="10">
        <v>1.4999999999999999E-2</v>
      </c>
      <c r="G31" s="10"/>
      <c r="H31" s="28" t="s">
        <v>70</v>
      </c>
    </row>
    <row r="32" spans="1:8">
      <c r="A32" s="2" t="s">
        <v>25</v>
      </c>
      <c r="B32" s="10">
        <v>6.3E-2</v>
      </c>
      <c r="C32" s="10">
        <v>6.0999999999999999E-2</v>
      </c>
      <c r="D32" s="10">
        <v>5.8999999999999997E-2</v>
      </c>
      <c r="E32" s="10">
        <v>5.7000000000000002E-2</v>
      </c>
      <c r="F32" s="10">
        <v>5.5E-2</v>
      </c>
      <c r="G32" s="10"/>
      <c r="H32" s="28"/>
    </row>
    <row r="33" spans="1:8">
      <c r="A33" s="2" t="s">
        <v>71</v>
      </c>
      <c r="B33" s="11">
        <v>50</v>
      </c>
      <c r="C33" s="11">
        <v>50</v>
      </c>
      <c r="D33" s="11">
        <v>49.5</v>
      </c>
      <c r="E33" s="11">
        <v>49</v>
      </c>
      <c r="F33" s="11">
        <v>48.5</v>
      </c>
      <c r="G33" s="9"/>
      <c r="H33" s="28"/>
    </row>
    <row r="34" spans="1:8">
      <c r="A34" s="2" t="s">
        <v>72</v>
      </c>
      <c r="B34" s="11">
        <v>4</v>
      </c>
      <c r="C34" s="11">
        <v>4</v>
      </c>
      <c r="D34" s="11">
        <v>4</v>
      </c>
      <c r="E34" s="11">
        <v>4</v>
      </c>
      <c r="F34" s="11">
        <v>4</v>
      </c>
      <c r="G34" s="9"/>
      <c r="H34" s="28"/>
    </row>
    <row r="35" spans="1:8">
      <c r="A35" s="2" t="s">
        <v>73</v>
      </c>
      <c r="B35" s="11">
        <v>74</v>
      </c>
      <c r="C35" s="11">
        <v>74</v>
      </c>
      <c r="D35" s="11">
        <v>73.5</v>
      </c>
      <c r="E35" s="11">
        <v>73</v>
      </c>
      <c r="F35" s="11">
        <v>72.5</v>
      </c>
      <c r="G35" s="9"/>
    </row>
    <row r="36" spans="1:8" ht="18" customHeight="1">
      <c r="A36" s="4" t="s">
        <v>74</v>
      </c>
      <c r="B36" s="5"/>
      <c r="C36" s="5"/>
      <c r="D36" s="5"/>
      <c r="E36" s="5"/>
      <c r="F36" s="5"/>
      <c r="G36" s="5"/>
      <c r="H36" s="5"/>
    </row>
    <row r="37" spans="1:8" ht="18" customHeight="1">
      <c r="A37" s="29" t="s">
        <v>2</v>
      </c>
      <c r="B37" s="30" t="s">
        <v>3</v>
      </c>
      <c r="C37" s="30" t="s">
        <v>19</v>
      </c>
      <c r="D37" s="30" t="s">
        <v>20</v>
      </c>
      <c r="E37" s="30" t="s">
        <v>21</v>
      </c>
      <c r="F37" s="30" t="s">
        <v>4</v>
      </c>
      <c r="G37" s="30"/>
      <c r="H37" s="30"/>
    </row>
    <row r="38" spans="1:8">
      <c r="A38" s="2" t="s">
        <v>75</v>
      </c>
      <c r="B38" s="10">
        <v>0.95</v>
      </c>
      <c r="C38" s="10">
        <v>0.95</v>
      </c>
      <c r="D38" s="10">
        <v>0.95</v>
      </c>
      <c r="E38" s="10">
        <v>0.95</v>
      </c>
      <c r="F38" s="10">
        <v>0.95</v>
      </c>
      <c r="G38" s="10"/>
    </row>
    <row r="39" spans="1:8">
      <c r="A39" s="2" t="s">
        <v>76</v>
      </c>
      <c r="B39" s="10">
        <v>0.05</v>
      </c>
      <c r="C39" s="10">
        <v>0.05</v>
      </c>
      <c r="D39" s="10">
        <v>0.05</v>
      </c>
      <c r="E39" s="10">
        <v>0.05</v>
      </c>
      <c r="F39" s="10">
        <v>0.05</v>
      </c>
      <c r="G39" s="10"/>
    </row>
    <row r="40" spans="1:8">
      <c r="A40" s="2" t="s">
        <v>77</v>
      </c>
      <c r="B40" s="10">
        <v>0.95</v>
      </c>
      <c r="C40" s="10">
        <v>0.95</v>
      </c>
      <c r="D40" s="10">
        <v>0.95</v>
      </c>
      <c r="E40" s="10">
        <v>0.95</v>
      </c>
      <c r="F40" s="10">
        <v>0.95</v>
      </c>
      <c r="G40" s="10"/>
    </row>
    <row r="41" spans="1:8">
      <c r="A41" s="2" t="s">
        <v>78</v>
      </c>
      <c r="B41" s="10">
        <v>0.05</v>
      </c>
      <c r="C41" s="10">
        <v>0.05</v>
      </c>
      <c r="D41" s="10">
        <v>0.05</v>
      </c>
      <c r="E41" s="10">
        <v>0.05</v>
      </c>
      <c r="F41" s="10">
        <v>0.05</v>
      </c>
      <c r="G41" s="10"/>
    </row>
    <row r="42" spans="1:8" ht="18" customHeight="1">
      <c r="A42" s="4" t="s">
        <v>79</v>
      </c>
      <c r="B42" s="5"/>
      <c r="C42" s="5"/>
      <c r="D42" s="5"/>
      <c r="E42" s="5"/>
      <c r="F42" s="5"/>
      <c r="G42" s="5"/>
    </row>
    <row r="43" spans="1:8" ht="18" customHeight="1">
      <c r="A43" s="29" t="s">
        <v>2</v>
      </c>
      <c r="B43" s="30" t="s">
        <v>3</v>
      </c>
      <c r="C43" s="30" t="s">
        <v>19</v>
      </c>
      <c r="D43" s="30" t="s">
        <v>20</v>
      </c>
      <c r="E43" s="30" t="s">
        <v>21</v>
      </c>
      <c r="F43" s="30" t="s">
        <v>4</v>
      </c>
      <c r="G43" s="30"/>
    </row>
    <row r="44" spans="1:8">
      <c r="A44" s="2" t="s">
        <v>80</v>
      </c>
      <c r="B44" s="11">
        <v>-75000</v>
      </c>
      <c r="C44" s="11">
        <v>-75000</v>
      </c>
      <c r="D44" s="11">
        <v>-75000</v>
      </c>
      <c r="E44" s="11">
        <v>-75000</v>
      </c>
      <c r="F44" s="11">
        <v>-75000</v>
      </c>
      <c r="G44" s="9"/>
    </row>
    <row r="45" spans="1:8">
      <c r="A45" s="2" t="s">
        <v>81</v>
      </c>
      <c r="B45" s="10">
        <v>0.33</v>
      </c>
      <c r="C45" s="10">
        <v>0.33</v>
      </c>
      <c r="D45" s="10">
        <v>0.33</v>
      </c>
      <c r="E45" s="10">
        <v>0.33</v>
      </c>
      <c r="F45" s="10">
        <v>0.33</v>
      </c>
      <c r="G45" s="10"/>
    </row>
    <row r="46" spans="1:8">
      <c r="A46" s="2" t="s">
        <v>82</v>
      </c>
      <c r="B46" s="11">
        <v>15000</v>
      </c>
      <c r="C46" s="11">
        <v>15000</v>
      </c>
      <c r="D46" s="11">
        <v>15000</v>
      </c>
      <c r="E46" s="11">
        <v>15000</v>
      </c>
      <c r="F46" s="11">
        <v>15000</v>
      </c>
      <c r="G46" s="9"/>
    </row>
    <row r="47" spans="1:8">
      <c r="A47" s="2" t="s">
        <v>83</v>
      </c>
      <c r="B47" s="10">
        <v>0.21</v>
      </c>
      <c r="C47" s="10">
        <v>0.21</v>
      </c>
      <c r="D47" s="10">
        <v>0.21</v>
      </c>
      <c r="E47" s="10">
        <v>0.21</v>
      </c>
      <c r="F47" s="10">
        <v>0.21</v>
      </c>
      <c r="G47" s="10"/>
    </row>
    <row r="48" spans="1:8">
      <c r="A48" s="2" t="s">
        <v>84</v>
      </c>
      <c r="B48" s="11">
        <v>-30000</v>
      </c>
      <c r="C48" s="11">
        <v>-30000</v>
      </c>
      <c r="D48" s="11">
        <v>-30000</v>
      </c>
      <c r="E48" s="11">
        <v>-30000</v>
      </c>
      <c r="F48" s="11">
        <v>-30000</v>
      </c>
      <c r="G48" s="9"/>
    </row>
    <row r="49" spans="1:11">
      <c r="A49" s="2" t="s">
        <v>85</v>
      </c>
      <c r="B49" s="10">
        <v>0.25</v>
      </c>
      <c r="C49" s="10">
        <v>0.25</v>
      </c>
      <c r="D49" s="10">
        <v>0.25</v>
      </c>
      <c r="E49" s="10">
        <v>0.25</v>
      </c>
      <c r="F49" s="10">
        <v>0.25</v>
      </c>
      <c r="G49" s="10"/>
    </row>
    <row r="50" spans="1:11">
      <c r="A50" s="2" t="s">
        <v>86</v>
      </c>
      <c r="B50" s="10">
        <v>7.0000000000000007E-2</v>
      </c>
      <c r="C50" s="10">
        <v>7.0000000000000007E-2</v>
      </c>
      <c r="D50" s="10">
        <v>7.0000000000000007E-2</v>
      </c>
      <c r="E50" s="10">
        <v>7.0000000000000007E-2</v>
      </c>
      <c r="F50" s="10">
        <v>7.0000000000000007E-2</v>
      </c>
      <c r="G50" s="10"/>
    </row>
    <row r="51" spans="1:11">
      <c r="A51" s="2" t="s">
        <v>87</v>
      </c>
      <c r="B51" s="10">
        <v>1.0999999999999999E-2</v>
      </c>
      <c r="C51" s="10">
        <v>1.0999999999999999E-2</v>
      </c>
      <c r="D51" s="10">
        <v>1.0999999999999999E-2</v>
      </c>
      <c r="E51" s="10">
        <v>1.0999999999999999E-2</v>
      </c>
      <c r="F51" s="10">
        <v>1.0999999999999999E-2</v>
      </c>
      <c r="G51" s="10"/>
    </row>
    <row r="52" spans="1:11">
      <c r="A52" s="2" t="s">
        <v>88</v>
      </c>
      <c r="B52" s="10">
        <v>5.0000000000000001E-4</v>
      </c>
      <c r="C52" s="10">
        <v>5.0000000000000001E-4</v>
      </c>
      <c r="D52" s="10">
        <v>5.0000000000000001E-4</v>
      </c>
      <c r="E52" s="10">
        <v>5.0000000000000001E-4</v>
      </c>
      <c r="F52" s="10">
        <v>5.0000000000000001E-4</v>
      </c>
      <c r="G52" s="10"/>
    </row>
    <row r="53" spans="1:11">
      <c r="A53" s="2" t="s">
        <v>89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/>
      <c r="H53" s="16"/>
    </row>
    <row r="54" spans="1:11">
      <c r="A54" s="2" t="s">
        <v>90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/>
      <c r="I54" s="16"/>
      <c r="J54" s="16"/>
      <c r="K54" s="16"/>
    </row>
    <row r="55" spans="1:11">
      <c r="A55" s="2" t="s">
        <v>91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/>
    </row>
    <row r="56" spans="1:11">
      <c r="A56" s="2" t="s">
        <v>92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/>
    </row>
  </sheetData>
  <mergeCells count="5">
    <mergeCell ref="A1:H1"/>
    <mergeCell ref="A2:H2"/>
    <mergeCell ref="A3:H3"/>
    <mergeCell ref="A18:H18"/>
    <mergeCell ref="A24:H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1"/>
  <sheetViews>
    <sheetView showGridLines="0" workbookViewId="0">
      <selection activeCell="B10" sqref="B4:B10"/>
    </sheetView>
  </sheetViews>
  <sheetFormatPr defaultRowHeight="13.8"/>
  <cols>
    <col min="1" max="1" width="56" customWidth="1"/>
    <col min="2" max="7" width="13" customWidth="1"/>
  </cols>
  <sheetData>
    <row r="1" spans="1:7" ht="22.05" customHeight="1">
      <c r="A1" s="59" t="s">
        <v>93</v>
      </c>
      <c r="B1" s="60"/>
      <c r="C1" s="60"/>
      <c r="D1" s="60"/>
      <c r="E1" s="60"/>
      <c r="F1" s="60"/>
      <c r="G1" s="60"/>
    </row>
    <row r="2" spans="1:7" ht="30" customHeight="1">
      <c r="A2" s="61"/>
      <c r="B2" s="62"/>
      <c r="C2" s="62"/>
      <c r="D2" s="62"/>
      <c r="E2" s="62"/>
      <c r="F2" s="62"/>
      <c r="G2" s="62"/>
    </row>
    <row r="3" spans="1:7" ht="18" customHeight="1">
      <c r="A3" s="63" t="s">
        <v>94</v>
      </c>
      <c r="B3" s="64"/>
      <c r="C3" s="64"/>
      <c r="D3" s="64"/>
      <c r="E3" s="64"/>
      <c r="F3" s="64"/>
      <c r="G3" s="64"/>
    </row>
    <row r="4" spans="1:7" ht="18" customHeight="1">
      <c r="A4" s="6" t="s">
        <v>95</v>
      </c>
      <c r="B4" s="24">
        <v>2020</v>
      </c>
      <c r="C4" s="24">
        <v>2021</v>
      </c>
      <c r="D4" s="24">
        <v>2022</v>
      </c>
      <c r="E4" s="24">
        <v>2023</v>
      </c>
      <c r="F4" s="24">
        <v>2024</v>
      </c>
      <c r="G4" s="24">
        <v>2025</v>
      </c>
    </row>
    <row r="5" spans="1:7">
      <c r="A5" s="2" t="s">
        <v>30</v>
      </c>
      <c r="B5" s="11">
        <v>10125815</v>
      </c>
      <c r="C5" s="11">
        <v>13362012</v>
      </c>
      <c r="D5" s="11">
        <v>19801622</v>
      </c>
      <c r="E5" s="11">
        <v>25666255</v>
      </c>
      <c r="F5" s="11">
        <v>29273792</v>
      </c>
      <c r="G5" s="11">
        <v>33634155</v>
      </c>
    </row>
    <row r="6" spans="1:7">
      <c r="A6" s="2" t="s">
        <v>96</v>
      </c>
      <c r="B6" s="11">
        <v>-7521986</v>
      </c>
      <c r="C6" s="11">
        <v>-10038342</v>
      </c>
      <c r="D6" s="11">
        <v>-15038630</v>
      </c>
      <c r="E6" s="11">
        <v>-19741459</v>
      </c>
      <c r="F6" s="11">
        <v>-22463233</v>
      </c>
      <c r="G6" s="11">
        <v>-25723078</v>
      </c>
    </row>
    <row r="7" spans="1:7">
      <c r="A7" s="2" t="s">
        <v>97</v>
      </c>
      <c r="B7" s="11">
        <v>2603829</v>
      </c>
      <c r="C7" s="11">
        <v>3323670</v>
      </c>
      <c r="D7" s="11">
        <v>4762992</v>
      </c>
      <c r="E7" s="11">
        <v>5924796</v>
      </c>
      <c r="F7" s="11">
        <v>6810559</v>
      </c>
      <c r="G7" s="11">
        <v>7911077</v>
      </c>
    </row>
    <row r="8" spans="1:7">
      <c r="A8" s="2" t="s">
        <v>98</v>
      </c>
      <c r="B8" s="11">
        <v>7598</v>
      </c>
      <c r="C8" s="11">
        <v>14364</v>
      </c>
      <c r="D8" s="11">
        <v>16282</v>
      </c>
      <c r="E8" s="11">
        <v>13477</v>
      </c>
      <c r="F8" s="11">
        <v>24185</v>
      </c>
      <c r="G8" s="11">
        <v>29231</v>
      </c>
    </row>
    <row r="9" spans="1:7">
      <c r="A9" s="2" t="s">
        <v>99</v>
      </c>
      <c r="B9" s="11">
        <v>-1668084</v>
      </c>
      <c r="C9" s="11">
        <v>-2181963</v>
      </c>
      <c r="D9" s="11">
        <v>-3080061</v>
      </c>
      <c r="E9" s="11">
        <v>-3878421</v>
      </c>
      <c r="F9" s="11">
        <v>-4678717</v>
      </c>
      <c r="G9" s="11">
        <v>-5576262</v>
      </c>
    </row>
    <row r="10" spans="1:7">
      <c r="A10" s="2" t="s">
        <v>100</v>
      </c>
      <c r="B10" s="11">
        <v>-99783</v>
      </c>
      <c r="C10" s="11">
        <v>-117285</v>
      </c>
      <c r="D10" s="11">
        <v>-143217</v>
      </c>
      <c r="E10" s="11">
        <v>-173736</v>
      </c>
      <c r="F10" s="11">
        <v>-233653</v>
      </c>
      <c r="G10" s="11">
        <v>-302944</v>
      </c>
    </row>
    <row r="11" spans="1:7">
      <c r="A11" s="2" t="s">
        <v>101</v>
      </c>
      <c r="B11" s="11">
        <v>-5701</v>
      </c>
      <c r="C11" s="11">
        <v>-14793</v>
      </c>
      <c r="D11" s="11">
        <v>-18177</v>
      </c>
      <c r="E11" s="11">
        <v>-10261</v>
      </c>
      <c r="F11" s="11">
        <v>-14044</v>
      </c>
      <c r="G11" s="11">
        <v>-19820</v>
      </c>
    </row>
    <row r="12" spans="1:7">
      <c r="A12" s="2" t="s">
        <v>102</v>
      </c>
      <c r="B12" s="11">
        <v>837859</v>
      </c>
      <c r="C12" s="11">
        <v>1023993</v>
      </c>
      <c r="D12" s="11">
        <v>1537819</v>
      </c>
      <c r="E12" s="11">
        <v>1875855</v>
      </c>
      <c r="F12" s="11">
        <v>1908330</v>
      </c>
      <c r="G12" s="11">
        <v>2041282</v>
      </c>
    </row>
    <row r="13" spans="1:7">
      <c r="A13" s="2" t="s">
        <v>103</v>
      </c>
      <c r="B13" s="11">
        <v>3237</v>
      </c>
      <c r="C13" s="11">
        <v>1119</v>
      </c>
      <c r="D13" s="11">
        <v>5092</v>
      </c>
      <c r="E13" s="11">
        <v>10442</v>
      </c>
      <c r="F13" s="11">
        <v>6657</v>
      </c>
      <c r="G13" s="11">
        <v>8316</v>
      </c>
    </row>
    <row r="14" spans="1:7">
      <c r="A14" s="2" t="s">
        <v>104</v>
      </c>
      <c r="B14" s="11">
        <v>-52096</v>
      </c>
      <c r="C14" s="11">
        <v>-46703</v>
      </c>
      <c r="D14" s="11">
        <v>-141293</v>
      </c>
      <c r="E14" s="11">
        <v>-147316</v>
      </c>
      <c r="F14" s="11">
        <v>-121424</v>
      </c>
      <c r="G14" s="11">
        <v>-122945</v>
      </c>
    </row>
    <row r="15" spans="1:7">
      <c r="A15" s="2" t="s">
        <v>105</v>
      </c>
      <c r="B15" s="11">
        <v>789000</v>
      </c>
      <c r="C15" s="11">
        <v>978409</v>
      </c>
      <c r="D15" s="11">
        <v>1401618</v>
      </c>
      <c r="E15" s="11">
        <v>1738981</v>
      </c>
      <c r="F15" s="11">
        <v>1793563</v>
      </c>
      <c r="G15" s="11">
        <v>1926653</v>
      </c>
    </row>
    <row r="16" spans="1:7">
      <c r="A16" s="2" t="s">
        <v>106</v>
      </c>
      <c r="B16" s="11">
        <v>-145083</v>
      </c>
      <c r="C16" s="11">
        <v>-173106</v>
      </c>
      <c r="D16" s="11">
        <v>-269531</v>
      </c>
      <c r="E16" s="11">
        <v>-333654</v>
      </c>
      <c r="F16" s="11">
        <v>-287834</v>
      </c>
      <c r="G16" s="11">
        <v>-367856</v>
      </c>
    </row>
    <row r="17" spans="1:14">
      <c r="A17" s="2" t="s">
        <v>107</v>
      </c>
      <c r="B17" s="11">
        <v>643917</v>
      </c>
      <c r="C17" s="11">
        <v>805303</v>
      </c>
      <c r="D17" s="11">
        <v>1132087</v>
      </c>
      <c r="E17" s="11">
        <v>1405327</v>
      </c>
      <c r="F17" s="11">
        <v>1505729</v>
      </c>
      <c r="G17" s="11">
        <v>1558797</v>
      </c>
    </row>
    <row r="18" spans="1:14">
      <c r="A18" s="2" t="s">
        <v>108</v>
      </c>
      <c r="B18" s="11">
        <v>643917</v>
      </c>
      <c r="C18" s="11">
        <v>805303</v>
      </c>
      <c r="D18" s="11">
        <v>1132087</v>
      </c>
      <c r="E18" s="11">
        <v>1405327</v>
      </c>
      <c r="F18" s="11">
        <v>1504980</v>
      </c>
      <c r="G18" s="11">
        <v>1558360</v>
      </c>
    </row>
    <row r="19" spans="1:14">
      <c r="A19" s="2" t="s">
        <v>109</v>
      </c>
      <c r="B19" s="11">
        <v>0</v>
      </c>
      <c r="C19" s="11">
        <v>0</v>
      </c>
      <c r="D19" s="11">
        <v>0</v>
      </c>
      <c r="E19" s="11">
        <v>0</v>
      </c>
      <c r="F19" s="11">
        <v>749</v>
      </c>
      <c r="G19" s="11">
        <v>437</v>
      </c>
    </row>
    <row r="20" spans="1:14" ht="18" customHeight="1">
      <c r="A20" s="63" t="s">
        <v>110</v>
      </c>
      <c r="B20" s="64"/>
      <c r="C20" s="64"/>
      <c r="D20" s="64"/>
      <c r="E20" s="64"/>
      <c r="F20" s="64"/>
      <c r="G20" s="64"/>
    </row>
    <row r="21" spans="1:14" ht="18" customHeight="1">
      <c r="A21" s="6" t="s">
        <v>95</v>
      </c>
      <c r="B21" s="24">
        <v>2020</v>
      </c>
      <c r="C21" s="24">
        <v>2021</v>
      </c>
      <c r="D21" s="24">
        <v>2022</v>
      </c>
      <c r="E21" s="24">
        <v>2023</v>
      </c>
      <c r="F21" s="24">
        <v>2024</v>
      </c>
      <c r="G21" s="24">
        <v>2025</v>
      </c>
    </row>
    <row r="22" spans="1:14">
      <c r="A22" s="2" t="s">
        <v>111</v>
      </c>
      <c r="B22" s="11">
        <v>3749480</v>
      </c>
      <c r="C22" s="11">
        <v>4911353</v>
      </c>
      <c r="D22" s="11">
        <v>6070032</v>
      </c>
      <c r="E22" s="11">
        <v>6874672</v>
      </c>
      <c r="F22" s="11">
        <v>8230915</v>
      </c>
      <c r="G22" s="11">
        <v>9774681</v>
      </c>
      <c r="H22" s="47"/>
      <c r="I22" s="47"/>
      <c r="J22" s="47"/>
      <c r="K22" s="47"/>
      <c r="L22" s="47"/>
      <c r="M22" s="47"/>
      <c r="N22" s="47"/>
    </row>
    <row r="23" spans="1:14">
      <c r="A23" s="2" t="s">
        <v>112</v>
      </c>
      <c r="B23" s="11">
        <v>184538</v>
      </c>
      <c r="C23" s="11">
        <v>139931</v>
      </c>
      <c r="D23" s="11">
        <v>105116</v>
      </c>
      <c r="E23" s="11">
        <v>93499</v>
      </c>
      <c r="F23" s="11">
        <v>141350</v>
      </c>
      <c r="G23" s="11">
        <v>217006</v>
      </c>
    </row>
    <row r="24" spans="1:14">
      <c r="A24" s="2" t="s">
        <v>113</v>
      </c>
      <c r="B24" s="11">
        <v>99050</v>
      </c>
      <c r="C24" s="11">
        <v>96947</v>
      </c>
      <c r="D24" s="11">
        <v>94737</v>
      </c>
      <c r="E24" s="11">
        <v>115056</v>
      </c>
      <c r="F24" s="11">
        <v>169964</v>
      </c>
      <c r="G24" s="11">
        <v>176185</v>
      </c>
    </row>
    <row r="25" spans="1:14">
      <c r="A25" s="2" t="s">
        <v>114</v>
      </c>
      <c r="B25" s="11">
        <v>6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14">
      <c r="A26" s="2" t="s">
        <v>115</v>
      </c>
      <c r="B26" s="11">
        <v>20738</v>
      </c>
      <c r="C26" s="11">
        <v>35116</v>
      </c>
      <c r="D26" s="11">
        <v>26468</v>
      </c>
      <c r="E26" s="11">
        <v>41323</v>
      </c>
      <c r="F26" s="11">
        <v>74149</v>
      </c>
      <c r="G26" s="11">
        <v>31376</v>
      </c>
    </row>
    <row r="27" spans="1:14">
      <c r="A27" s="2" t="s">
        <v>116</v>
      </c>
      <c r="B27" s="11">
        <v>4053812</v>
      </c>
      <c r="C27" s="11">
        <v>5183347</v>
      </c>
      <c r="D27" s="11">
        <v>6296353</v>
      </c>
      <c r="E27" s="11">
        <v>7124550</v>
      </c>
      <c r="F27" s="11">
        <v>8616378</v>
      </c>
      <c r="G27" s="11">
        <v>10199248</v>
      </c>
    </row>
    <row r="28" spans="1:14">
      <c r="A28" s="2" t="s">
        <v>117</v>
      </c>
      <c r="B28" s="11">
        <v>875147</v>
      </c>
      <c r="C28" s="11">
        <v>1373463</v>
      </c>
      <c r="D28" s="11">
        <v>1978778</v>
      </c>
      <c r="E28" s="11">
        <v>2638859</v>
      </c>
      <c r="F28" s="11">
        <v>3081444</v>
      </c>
      <c r="G28" s="11">
        <v>3548100</v>
      </c>
    </row>
    <row r="29" spans="1:14">
      <c r="A29" s="2" t="s">
        <v>118</v>
      </c>
      <c r="B29" s="11">
        <v>86822</v>
      </c>
      <c r="C29" s="11">
        <v>144012</v>
      </c>
      <c r="D29" s="11">
        <v>274872</v>
      </c>
      <c r="E29" s="11">
        <v>330389</v>
      </c>
      <c r="F29" s="11">
        <v>376480</v>
      </c>
      <c r="G29" s="11">
        <v>372038</v>
      </c>
    </row>
    <row r="30" spans="1:14">
      <c r="A30" s="2" t="s">
        <v>119</v>
      </c>
      <c r="B30" s="11">
        <v>2</v>
      </c>
      <c r="C30" s="11">
        <v>55</v>
      </c>
      <c r="D30" s="11">
        <v>0</v>
      </c>
      <c r="E30" s="11">
        <v>103</v>
      </c>
      <c r="F30" s="11">
        <v>220</v>
      </c>
      <c r="G30" s="11">
        <v>18596</v>
      </c>
    </row>
    <row r="31" spans="1:14">
      <c r="A31" s="2" t="s">
        <v>120</v>
      </c>
      <c r="B31" s="11">
        <v>73367</v>
      </c>
      <c r="C31" s="11">
        <v>47712</v>
      </c>
      <c r="D31" s="11">
        <v>69096</v>
      </c>
      <c r="E31" s="11">
        <v>64049</v>
      </c>
      <c r="F31" s="11">
        <v>88186</v>
      </c>
      <c r="G31" s="11">
        <v>76477</v>
      </c>
    </row>
    <row r="32" spans="1:14">
      <c r="A32" s="2" t="s">
        <v>121</v>
      </c>
      <c r="B32" s="11">
        <v>942</v>
      </c>
      <c r="C32" s="11">
        <v>1327</v>
      </c>
      <c r="D32" s="11">
        <v>1242</v>
      </c>
      <c r="E32" s="11">
        <v>1376</v>
      </c>
      <c r="F32" s="11">
        <v>2064</v>
      </c>
      <c r="G32" s="11">
        <v>2007</v>
      </c>
    </row>
    <row r="33" spans="1:7">
      <c r="A33" s="2" t="s">
        <v>122</v>
      </c>
      <c r="B33" s="11">
        <v>480418</v>
      </c>
      <c r="C33" s="11">
        <v>418615</v>
      </c>
      <c r="D33" s="11">
        <v>382718</v>
      </c>
      <c r="E33" s="11">
        <v>218389</v>
      </c>
      <c r="F33" s="11">
        <v>891022</v>
      </c>
      <c r="G33" s="11">
        <v>954814</v>
      </c>
    </row>
    <row r="34" spans="1:7">
      <c r="A34" s="2" t="s">
        <v>123</v>
      </c>
      <c r="B34" s="11">
        <v>1516698</v>
      </c>
      <c r="C34" s="11">
        <v>1985184</v>
      </c>
      <c r="D34" s="11">
        <v>2706706</v>
      </c>
      <c r="E34" s="11">
        <v>3253165</v>
      </c>
      <c r="F34" s="11">
        <v>4439416</v>
      </c>
      <c r="G34" s="11">
        <v>4972032</v>
      </c>
    </row>
    <row r="35" spans="1:7">
      <c r="A35" s="2" t="s">
        <v>124</v>
      </c>
      <c r="B35" s="11">
        <v>5570510</v>
      </c>
      <c r="C35" s="11">
        <v>7168531</v>
      </c>
      <c r="D35" s="11">
        <v>9003059</v>
      </c>
      <c r="E35" s="11">
        <v>10377715</v>
      </c>
      <c r="F35" s="11">
        <v>13055794</v>
      </c>
      <c r="G35" s="11">
        <v>15171280</v>
      </c>
    </row>
    <row r="36" spans="1:7">
      <c r="A36" s="2" t="s">
        <v>125</v>
      </c>
      <c r="B36" s="11">
        <v>2266563</v>
      </c>
      <c r="C36" s="11">
        <v>3070190</v>
      </c>
      <c r="D36" s="11">
        <v>4203783</v>
      </c>
      <c r="E36" s="11">
        <v>5605311</v>
      </c>
      <c r="F36" s="11">
        <v>7085151</v>
      </c>
      <c r="G36" s="11">
        <v>8653393</v>
      </c>
    </row>
    <row r="37" spans="1:7">
      <c r="A37" s="2" t="s">
        <v>126</v>
      </c>
      <c r="B37" s="11">
        <v>9804</v>
      </c>
      <c r="C37" s="11">
        <v>9804</v>
      </c>
      <c r="D37" s="11">
        <v>9804</v>
      </c>
      <c r="E37" s="11">
        <v>9804</v>
      </c>
      <c r="F37" s="11">
        <v>9804</v>
      </c>
      <c r="G37" s="11">
        <v>9804</v>
      </c>
    </row>
    <row r="38" spans="1:7">
      <c r="A38" s="2" t="s">
        <v>127</v>
      </c>
      <c r="B38" s="11">
        <v>2063322</v>
      </c>
      <c r="C38" s="11">
        <v>2707720</v>
      </c>
      <c r="D38" s="11">
        <v>3512022</v>
      </c>
      <c r="E38" s="11">
        <v>4652148</v>
      </c>
      <c r="F38" s="11">
        <v>6058912</v>
      </c>
      <c r="G38" s="11">
        <v>7569927</v>
      </c>
    </row>
    <row r="39" spans="1:7">
      <c r="A39" s="2" t="s">
        <v>128</v>
      </c>
      <c r="B39" s="11">
        <v>185937</v>
      </c>
      <c r="C39" s="11">
        <v>345166</v>
      </c>
      <c r="D39" s="11">
        <v>674457</v>
      </c>
      <c r="E39" s="11">
        <v>935859</v>
      </c>
      <c r="F39" s="11">
        <v>1031871</v>
      </c>
      <c r="G39" s="11">
        <v>1077742</v>
      </c>
    </row>
    <row r="40" spans="1:7">
      <c r="A40" s="2" t="s">
        <v>129</v>
      </c>
      <c r="B40" s="11">
        <v>7500</v>
      </c>
      <c r="C40" s="11">
        <v>7500</v>
      </c>
      <c r="D40" s="11">
        <v>7500</v>
      </c>
      <c r="E40" s="11">
        <v>7500</v>
      </c>
      <c r="F40" s="11">
        <v>-15436</v>
      </c>
      <c r="G40" s="11">
        <v>-4080</v>
      </c>
    </row>
    <row r="41" spans="1:7">
      <c r="A41" s="2" t="s">
        <v>130</v>
      </c>
      <c r="B41" s="11">
        <v>0</v>
      </c>
      <c r="C41" s="11">
        <v>0</v>
      </c>
      <c r="D41" s="11">
        <v>0</v>
      </c>
      <c r="E41" s="11">
        <v>0</v>
      </c>
      <c r="F41" s="11">
        <v>17283</v>
      </c>
      <c r="G41" s="11">
        <v>17720</v>
      </c>
    </row>
    <row r="42" spans="1:7">
      <c r="A42" s="2" t="s">
        <v>131</v>
      </c>
      <c r="B42" s="11">
        <v>2266563</v>
      </c>
      <c r="C42" s="11">
        <v>3070190</v>
      </c>
      <c r="D42" s="11">
        <v>4203783</v>
      </c>
      <c r="E42" s="11">
        <v>5605311</v>
      </c>
      <c r="F42" s="11">
        <v>7102434</v>
      </c>
      <c r="G42" s="11">
        <v>8671113</v>
      </c>
    </row>
    <row r="43" spans="1:7">
      <c r="A43" s="2" t="s">
        <v>132</v>
      </c>
      <c r="B43" s="11">
        <v>725851</v>
      </c>
      <c r="C43" s="11">
        <v>583014</v>
      </c>
      <c r="D43" s="11">
        <v>690862</v>
      </c>
      <c r="E43" s="11">
        <v>469629</v>
      </c>
      <c r="F43" s="11">
        <v>272219</v>
      </c>
      <c r="G43" s="11">
        <v>312861</v>
      </c>
    </row>
    <row r="44" spans="1:7">
      <c r="A44" s="2" t="s">
        <v>133</v>
      </c>
      <c r="B44" s="11">
        <v>67876</v>
      </c>
      <c r="C44" s="11">
        <v>46621</v>
      </c>
      <c r="D44" s="11">
        <v>34673</v>
      </c>
      <c r="E44" s="11">
        <v>35612</v>
      </c>
      <c r="F44" s="11">
        <v>60818</v>
      </c>
      <c r="G44" s="11">
        <v>87851</v>
      </c>
    </row>
    <row r="45" spans="1:7">
      <c r="A45" s="2" t="s">
        <v>134</v>
      </c>
      <c r="B45" s="11">
        <v>419936</v>
      </c>
      <c r="C45" s="11">
        <v>450000</v>
      </c>
      <c r="D45" s="11">
        <v>370000</v>
      </c>
      <c r="E45" s="11">
        <v>370000</v>
      </c>
      <c r="F45" s="11">
        <v>170000</v>
      </c>
      <c r="G45" s="11">
        <v>0</v>
      </c>
    </row>
    <row r="46" spans="1:7">
      <c r="A46" s="2" t="s">
        <v>135</v>
      </c>
      <c r="B46" s="11">
        <v>0</v>
      </c>
      <c r="C46" s="11">
        <v>0</v>
      </c>
      <c r="D46" s="11">
        <v>0</v>
      </c>
      <c r="E46" s="11">
        <v>0</v>
      </c>
      <c r="F46" s="11">
        <v>22936</v>
      </c>
      <c r="G46" s="11">
        <v>11580</v>
      </c>
    </row>
    <row r="47" spans="1:7">
      <c r="A47" s="2" t="s">
        <v>136</v>
      </c>
      <c r="B47" s="11">
        <v>180</v>
      </c>
      <c r="C47" s="11">
        <v>150</v>
      </c>
      <c r="D47" s="11">
        <v>120</v>
      </c>
      <c r="E47" s="11">
        <v>90</v>
      </c>
      <c r="F47" s="11">
        <v>60</v>
      </c>
      <c r="G47" s="11">
        <v>30</v>
      </c>
    </row>
    <row r="48" spans="1:7">
      <c r="A48" s="2" t="s">
        <v>137</v>
      </c>
      <c r="B48" s="11">
        <v>2844</v>
      </c>
      <c r="C48" s="11">
        <v>4827</v>
      </c>
      <c r="D48" s="11">
        <v>5794</v>
      </c>
      <c r="E48" s="11">
        <v>10900</v>
      </c>
      <c r="F48" s="11">
        <v>14142</v>
      </c>
      <c r="G48" s="11">
        <v>18041</v>
      </c>
    </row>
    <row r="49" spans="1:7">
      <c r="A49" s="2" t="s">
        <v>138</v>
      </c>
      <c r="B49" s="11">
        <v>6555</v>
      </c>
      <c r="C49" s="11">
        <v>8187</v>
      </c>
      <c r="D49" s="11">
        <v>7700</v>
      </c>
      <c r="E49" s="11">
        <v>6880</v>
      </c>
      <c r="F49" s="11">
        <v>30336</v>
      </c>
      <c r="G49" s="11">
        <v>4609</v>
      </c>
    </row>
    <row r="50" spans="1:7">
      <c r="A50" s="2" t="s">
        <v>139</v>
      </c>
      <c r="B50" s="11">
        <v>14</v>
      </c>
      <c r="C50" s="11">
        <v>5</v>
      </c>
      <c r="D50" s="11">
        <v>0</v>
      </c>
      <c r="E50" s="11">
        <v>0</v>
      </c>
      <c r="F50" s="11">
        <v>0</v>
      </c>
      <c r="G50" s="11">
        <v>0</v>
      </c>
    </row>
    <row r="51" spans="1:7">
      <c r="A51" s="2" t="s">
        <v>140</v>
      </c>
      <c r="B51" s="11">
        <v>1223256</v>
      </c>
      <c r="C51" s="11">
        <v>1092804</v>
      </c>
      <c r="D51" s="11">
        <v>1109149</v>
      </c>
      <c r="E51" s="11">
        <v>893111</v>
      </c>
      <c r="F51" s="11">
        <v>570511</v>
      </c>
      <c r="G51" s="11">
        <v>434972</v>
      </c>
    </row>
    <row r="52" spans="1:7">
      <c r="A52" s="2" t="s">
        <v>141</v>
      </c>
      <c r="B52" s="11">
        <v>1695163</v>
      </c>
      <c r="C52" s="11">
        <v>2454051</v>
      </c>
      <c r="D52" s="11">
        <v>2651049</v>
      </c>
      <c r="E52" s="11">
        <v>3095968</v>
      </c>
      <c r="F52" s="11">
        <v>4362006</v>
      </c>
      <c r="G52" s="11">
        <v>5194539</v>
      </c>
    </row>
    <row r="53" spans="1:7">
      <c r="A53" s="2" t="s">
        <v>142</v>
      </c>
      <c r="B53" s="11">
        <v>216868</v>
      </c>
      <c r="C53" s="11">
        <v>196169</v>
      </c>
      <c r="D53" s="11">
        <v>410157</v>
      </c>
      <c r="E53" s="11">
        <v>278588</v>
      </c>
      <c r="F53" s="11">
        <v>361034</v>
      </c>
      <c r="G53" s="11">
        <v>159926</v>
      </c>
    </row>
    <row r="54" spans="1:7">
      <c r="A54" s="2" t="s">
        <v>143</v>
      </c>
      <c r="B54" s="11">
        <v>42249</v>
      </c>
      <c r="C54" s="11">
        <v>27721</v>
      </c>
      <c r="D54" s="11">
        <v>17893</v>
      </c>
      <c r="E54" s="11">
        <v>14565</v>
      </c>
      <c r="F54" s="11">
        <v>17900</v>
      </c>
      <c r="G54" s="11">
        <v>22812</v>
      </c>
    </row>
    <row r="55" spans="1:7">
      <c r="A55" s="2" t="s">
        <v>144</v>
      </c>
      <c r="B55" s="11">
        <v>930</v>
      </c>
      <c r="C55" s="11">
        <v>171642</v>
      </c>
      <c r="D55" s="11">
        <v>260947</v>
      </c>
      <c r="E55" s="11">
        <v>4784</v>
      </c>
      <c r="F55" s="11">
        <v>204845</v>
      </c>
      <c r="G55" s="11">
        <v>171882</v>
      </c>
    </row>
    <row r="56" spans="1:7">
      <c r="A56" s="2" t="s">
        <v>145</v>
      </c>
      <c r="B56" s="11">
        <v>1332</v>
      </c>
      <c r="C56" s="11">
        <v>1944</v>
      </c>
      <c r="D56" s="11">
        <v>229660</v>
      </c>
      <c r="E56" s="11">
        <v>307273</v>
      </c>
      <c r="F56" s="11">
        <v>382575</v>
      </c>
      <c r="G56" s="11">
        <v>464694</v>
      </c>
    </row>
    <row r="57" spans="1:7">
      <c r="A57" s="2" t="s">
        <v>146</v>
      </c>
      <c r="B57" s="11">
        <v>80509</v>
      </c>
      <c r="C57" s="11">
        <v>93017</v>
      </c>
      <c r="D57" s="11">
        <v>120034</v>
      </c>
      <c r="E57" s="11">
        <v>176736</v>
      </c>
      <c r="F57" s="11">
        <v>50612</v>
      </c>
      <c r="G57" s="11">
        <v>47605</v>
      </c>
    </row>
    <row r="58" spans="1:7">
      <c r="A58" s="2" t="s">
        <v>147</v>
      </c>
      <c r="B58" s="11">
        <v>43640</v>
      </c>
      <c r="C58" s="11">
        <v>60993</v>
      </c>
      <c r="D58" s="11">
        <v>387</v>
      </c>
      <c r="E58" s="11">
        <v>1379</v>
      </c>
      <c r="F58" s="11">
        <v>3877</v>
      </c>
      <c r="G58" s="11">
        <v>3737</v>
      </c>
    </row>
    <row r="59" spans="1:7">
      <c r="A59" s="2" t="s">
        <v>148</v>
      </c>
      <c r="B59" s="11">
        <v>2080691</v>
      </c>
      <c r="C59" s="11">
        <v>3005537</v>
      </c>
      <c r="D59" s="11">
        <v>3690127</v>
      </c>
      <c r="E59" s="11">
        <v>3879293</v>
      </c>
      <c r="F59" s="11">
        <v>5382849</v>
      </c>
      <c r="G59" s="11">
        <v>6065195</v>
      </c>
    </row>
    <row r="60" spans="1:7">
      <c r="A60" s="2" t="s">
        <v>149</v>
      </c>
      <c r="B60" s="11">
        <v>3303947</v>
      </c>
      <c r="C60" s="11">
        <v>4098341</v>
      </c>
      <c r="D60" s="11">
        <v>4799276</v>
      </c>
      <c r="E60" s="11">
        <v>4772404</v>
      </c>
      <c r="F60" s="11">
        <v>5953360</v>
      </c>
      <c r="G60" s="11">
        <v>6500167</v>
      </c>
    </row>
    <row r="61" spans="1:7">
      <c r="A61" s="2" t="s">
        <v>150</v>
      </c>
      <c r="B61" s="11">
        <v>5570510</v>
      </c>
      <c r="C61" s="11">
        <v>7168531</v>
      </c>
      <c r="D61" s="11">
        <v>9003059</v>
      </c>
      <c r="E61" s="11">
        <v>10377715</v>
      </c>
      <c r="F61" s="11">
        <v>13055794</v>
      </c>
      <c r="G61" s="11">
        <v>15171280</v>
      </c>
    </row>
    <row r="62" spans="1:7" ht="18" customHeight="1">
      <c r="A62" s="63" t="s">
        <v>151</v>
      </c>
      <c r="B62" s="64"/>
      <c r="C62" s="64"/>
      <c r="D62" s="64"/>
      <c r="E62" s="64"/>
      <c r="F62" s="64"/>
      <c r="G62" s="64"/>
    </row>
    <row r="63" spans="1:7" ht="18" customHeight="1">
      <c r="A63" s="6" t="s">
        <v>95</v>
      </c>
      <c r="B63" s="24">
        <v>2020</v>
      </c>
      <c r="C63" s="24">
        <v>2021</v>
      </c>
      <c r="D63" s="24">
        <v>2022</v>
      </c>
      <c r="E63" s="24">
        <v>2023</v>
      </c>
      <c r="F63" s="24">
        <v>2024</v>
      </c>
      <c r="G63" s="24">
        <v>2025</v>
      </c>
    </row>
    <row r="64" spans="1:7">
      <c r="A64" s="2" t="s">
        <v>152</v>
      </c>
      <c r="B64" s="11">
        <v>198146</v>
      </c>
      <c r="C64" s="11">
        <v>247343</v>
      </c>
      <c r="D64" s="11">
        <v>300129</v>
      </c>
      <c r="E64" s="11">
        <v>356828</v>
      </c>
      <c r="F64" s="11">
        <v>409179</v>
      </c>
      <c r="G64" s="11">
        <v>505031</v>
      </c>
    </row>
    <row r="65" spans="1:7">
      <c r="A65" s="2" t="s">
        <v>153</v>
      </c>
      <c r="B65" s="11">
        <v>2264</v>
      </c>
      <c r="C65" s="11">
        <v>7423</v>
      </c>
      <c r="D65" s="11">
        <v>14540</v>
      </c>
      <c r="E65" s="11">
        <v>6531</v>
      </c>
      <c r="F65" s="11">
        <v>10372</v>
      </c>
      <c r="G65" s="11">
        <v>16705</v>
      </c>
    </row>
    <row r="66" spans="1:7">
      <c r="A66" s="2" t="s">
        <v>154</v>
      </c>
      <c r="B66" s="11">
        <v>-1131</v>
      </c>
      <c r="C66" s="11">
        <v>-998</v>
      </c>
      <c r="D66" s="11">
        <v>-4969</v>
      </c>
      <c r="E66" s="11">
        <v>-9006</v>
      </c>
      <c r="F66" s="11">
        <v>-6101</v>
      </c>
      <c r="G66" s="11">
        <v>-7952</v>
      </c>
    </row>
    <row r="67" spans="1:7">
      <c r="A67" s="2" t="s">
        <v>155</v>
      </c>
      <c r="B67" s="11">
        <v>52012</v>
      </c>
      <c r="C67" s="11">
        <v>46645</v>
      </c>
      <c r="D67" s="11">
        <v>141293</v>
      </c>
      <c r="E67" s="11">
        <v>147316</v>
      </c>
      <c r="F67" s="11">
        <v>121353</v>
      </c>
      <c r="G67" s="11">
        <v>122837</v>
      </c>
    </row>
    <row r="68" spans="1:7">
      <c r="A68" s="2" t="s">
        <v>156</v>
      </c>
      <c r="B68" s="11">
        <v>-43201</v>
      </c>
      <c r="C68" s="11">
        <v>-24880</v>
      </c>
      <c r="D68" s="11">
        <v>-152796</v>
      </c>
      <c r="E68" s="11">
        <v>-54245</v>
      </c>
      <c r="F68" s="11">
        <v>-55966</v>
      </c>
      <c r="G68" s="11">
        <v>14973</v>
      </c>
    </row>
    <row r="69" spans="1:7">
      <c r="A69" s="2" t="s">
        <v>157</v>
      </c>
      <c r="B69" s="11">
        <v>-251152</v>
      </c>
      <c r="C69" s="11">
        <v>-498316</v>
      </c>
      <c r="D69" s="11">
        <v>-605315</v>
      </c>
      <c r="E69" s="11">
        <v>-660081</v>
      </c>
      <c r="F69" s="11">
        <v>-424123</v>
      </c>
      <c r="G69" s="11">
        <v>-466656</v>
      </c>
    </row>
    <row r="70" spans="1:7">
      <c r="A70" s="2" t="s">
        <v>158</v>
      </c>
      <c r="B70" s="11">
        <v>197916</v>
      </c>
      <c r="C70" s="11">
        <v>728449</v>
      </c>
      <c r="D70" s="11">
        <v>366502</v>
      </c>
      <c r="E70" s="11">
        <v>537055</v>
      </c>
      <c r="F70" s="11">
        <v>1126352</v>
      </c>
      <c r="G70" s="11">
        <v>948166</v>
      </c>
    </row>
    <row r="71" spans="1:7">
      <c r="A71" s="2" t="s">
        <v>159</v>
      </c>
      <c r="B71" s="11">
        <v>-138680</v>
      </c>
      <c r="C71" s="11">
        <v>-173004</v>
      </c>
      <c r="D71" s="11">
        <v>-234653</v>
      </c>
      <c r="E71" s="11">
        <v>-291839</v>
      </c>
      <c r="F71" s="11">
        <v>-417176</v>
      </c>
      <c r="G71" s="11">
        <v>-362312</v>
      </c>
    </row>
    <row r="72" spans="1:7">
      <c r="A72" s="2" t="s">
        <v>160</v>
      </c>
      <c r="B72" s="11">
        <v>819922</v>
      </c>
      <c r="C72" s="11">
        <v>1326331</v>
      </c>
      <c r="D72" s="11">
        <v>1253422</v>
      </c>
      <c r="E72" s="11">
        <v>1771540</v>
      </c>
      <c r="F72" s="11">
        <v>2557453</v>
      </c>
      <c r="G72" s="11">
        <v>2697445</v>
      </c>
    </row>
    <row r="73" spans="1:7">
      <c r="A73" s="2" t="s">
        <v>161</v>
      </c>
      <c r="B73" s="11">
        <v>1403</v>
      </c>
      <c r="C73" s="11">
        <v>4263</v>
      </c>
      <c r="D73" s="11">
        <v>6287</v>
      </c>
      <c r="E73" s="11">
        <v>5735</v>
      </c>
      <c r="F73" s="11">
        <v>2430</v>
      </c>
      <c r="G73" s="11">
        <v>3980</v>
      </c>
    </row>
    <row r="74" spans="1:7">
      <c r="A74" s="2" t="s">
        <v>162</v>
      </c>
      <c r="B74" s="11">
        <v>-1002025</v>
      </c>
      <c r="C74" s="11">
        <v>-1335604</v>
      </c>
      <c r="D74" s="11">
        <v>-1445905</v>
      </c>
      <c r="E74" s="11">
        <v>-1172863</v>
      </c>
      <c r="F74" s="11">
        <v>-1561914</v>
      </c>
      <c r="G74" s="11">
        <v>-2087043</v>
      </c>
    </row>
    <row r="75" spans="1:7">
      <c r="A75" s="2" t="s">
        <v>163</v>
      </c>
      <c r="B75" s="11">
        <v>0</v>
      </c>
      <c r="C75" s="11">
        <v>0</v>
      </c>
      <c r="D75" s="11">
        <v>0</v>
      </c>
      <c r="E75" s="11">
        <v>0</v>
      </c>
      <c r="F75" s="11">
        <v>-42837</v>
      </c>
      <c r="G75" s="11">
        <v>0</v>
      </c>
    </row>
    <row r="76" spans="1:7">
      <c r="A76" s="2" t="s">
        <v>164</v>
      </c>
      <c r="B76" s="11">
        <v>1131</v>
      </c>
      <c r="C76" s="11">
        <v>998</v>
      </c>
      <c r="D76" s="11">
        <v>4969</v>
      </c>
      <c r="E76" s="11">
        <v>9006</v>
      </c>
      <c r="F76" s="11">
        <v>5972</v>
      </c>
      <c r="G76" s="11">
        <v>8081</v>
      </c>
    </row>
    <row r="77" spans="1:7">
      <c r="A77" s="2" t="s">
        <v>165</v>
      </c>
      <c r="B77" s="11">
        <v>825</v>
      </c>
      <c r="C77" s="11">
        <v>1415</v>
      </c>
      <c r="D77" s="11">
        <v>1710</v>
      </c>
      <c r="E77" s="11">
        <v>1831</v>
      </c>
      <c r="F77" s="11">
        <v>1859</v>
      </c>
      <c r="G77" s="11">
        <v>2466</v>
      </c>
    </row>
    <row r="78" spans="1:7">
      <c r="A78" s="2" t="s">
        <v>166</v>
      </c>
      <c r="B78" s="11">
        <v>-1470</v>
      </c>
      <c r="C78" s="11">
        <v>-1800</v>
      </c>
      <c r="D78" s="11">
        <v>-1624</v>
      </c>
      <c r="E78" s="11">
        <v>-1965</v>
      </c>
      <c r="F78" s="11">
        <v>-2419</v>
      </c>
      <c r="G78" s="11">
        <v>-2538</v>
      </c>
    </row>
    <row r="79" spans="1:7">
      <c r="A79" s="2" t="s">
        <v>167</v>
      </c>
      <c r="B79" s="11">
        <v>-1000136</v>
      </c>
      <c r="C79" s="11">
        <v>-1330728</v>
      </c>
      <c r="D79" s="11">
        <v>-1434563</v>
      </c>
      <c r="E79" s="11">
        <v>-1158256</v>
      </c>
      <c r="F79" s="11">
        <v>-1596909</v>
      </c>
      <c r="G79" s="11">
        <v>-2075054</v>
      </c>
    </row>
    <row r="80" spans="1:7">
      <c r="A80" s="2" t="s">
        <v>168</v>
      </c>
      <c r="B80" s="11">
        <v>-58335</v>
      </c>
      <c r="C80" s="11">
        <v>-47224</v>
      </c>
      <c r="D80" s="11">
        <v>-47531</v>
      </c>
      <c r="E80" s="11">
        <v>-25837</v>
      </c>
      <c r="F80" s="11">
        <v>-43861</v>
      </c>
      <c r="G80" s="11">
        <v>-72333</v>
      </c>
    </row>
    <row r="81" spans="1:7">
      <c r="A81" s="2" t="s">
        <v>169</v>
      </c>
      <c r="B81" s="11">
        <v>401369</v>
      </c>
      <c r="C81" s="11">
        <v>57636</v>
      </c>
      <c r="D81" s="11">
        <v>648366</v>
      </c>
      <c r="E81" s="11">
        <v>61378</v>
      </c>
      <c r="F81" s="11">
        <v>199961</v>
      </c>
      <c r="G81" s="11">
        <v>225124</v>
      </c>
    </row>
    <row r="82" spans="1:7">
      <c r="A82" s="2" t="s">
        <v>170</v>
      </c>
      <c r="B82" s="11">
        <v>-175110</v>
      </c>
      <c r="C82" s="11">
        <v>-221173</v>
      </c>
      <c r="D82" s="11">
        <v>-326529</v>
      </c>
      <c r="E82" s="11">
        <v>-414180</v>
      </c>
      <c r="F82" s="11">
        <v>-322719</v>
      </c>
      <c r="G82" s="11">
        <v>-385590</v>
      </c>
    </row>
    <row r="83" spans="1:7">
      <c r="A83" s="2" t="s">
        <v>171</v>
      </c>
      <c r="B83" s="11">
        <v>250000</v>
      </c>
      <c r="C83" s="11">
        <v>200000</v>
      </c>
      <c r="D83" s="11">
        <v>170000</v>
      </c>
      <c r="E83" s="11">
        <v>0</v>
      </c>
      <c r="F83" s="11">
        <v>0</v>
      </c>
      <c r="G83" s="11">
        <v>0</v>
      </c>
    </row>
    <row r="84" spans="1:7">
      <c r="A84" s="2" t="s">
        <v>172</v>
      </c>
      <c r="B84" s="11">
        <v>-100000</v>
      </c>
      <c r="C84" s="11">
        <v>0</v>
      </c>
      <c r="D84" s="11">
        <v>-170000</v>
      </c>
      <c r="E84" s="11">
        <v>-250000</v>
      </c>
      <c r="F84" s="11">
        <v>0</v>
      </c>
      <c r="G84" s="11">
        <v>-200000</v>
      </c>
    </row>
    <row r="85" spans="1:7">
      <c r="A85" s="2" t="s">
        <v>173</v>
      </c>
      <c r="B85" s="11">
        <v>-52012</v>
      </c>
      <c r="C85" s="11">
        <v>-46645</v>
      </c>
      <c r="D85" s="11">
        <v>-129062</v>
      </c>
      <c r="E85" s="11">
        <v>-148974</v>
      </c>
      <c r="F85" s="11">
        <v>-121292</v>
      </c>
      <c r="G85" s="11">
        <v>-125800</v>
      </c>
    </row>
    <row r="86" spans="1:7">
      <c r="A86" s="2" t="s">
        <v>174</v>
      </c>
      <c r="B86" s="11">
        <v>265912</v>
      </c>
      <c r="C86" s="11">
        <v>-57406</v>
      </c>
      <c r="D86" s="11">
        <v>145244</v>
      </c>
      <c r="E86" s="11">
        <v>-777613</v>
      </c>
      <c r="F86" s="11">
        <v>-287911</v>
      </c>
      <c r="G86" s="11">
        <v>-558599</v>
      </c>
    </row>
    <row r="87" spans="1:7">
      <c r="A87" s="2" t="s">
        <v>175</v>
      </c>
      <c r="B87" s="11">
        <v>85698</v>
      </c>
      <c r="C87" s="11">
        <v>-61803</v>
      </c>
      <c r="D87" s="11">
        <v>-35897</v>
      </c>
      <c r="E87" s="11">
        <v>-164329</v>
      </c>
      <c r="F87" s="11">
        <v>672633</v>
      </c>
      <c r="G87" s="11">
        <v>63792</v>
      </c>
    </row>
    <row r="88" spans="1:7">
      <c r="A88" s="2" t="s">
        <v>176</v>
      </c>
      <c r="B88" s="11">
        <v>394720</v>
      </c>
      <c r="C88" s="11">
        <v>480418</v>
      </c>
      <c r="D88" s="11">
        <v>418615</v>
      </c>
      <c r="E88" s="11">
        <v>382718</v>
      </c>
      <c r="F88" s="11">
        <v>218389</v>
      </c>
      <c r="G88" s="11">
        <v>891022</v>
      </c>
    </row>
    <row r="89" spans="1:7">
      <c r="A89" s="2" t="s">
        <v>177</v>
      </c>
      <c r="B89" s="11">
        <v>480418</v>
      </c>
      <c r="C89" s="11">
        <v>418615</v>
      </c>
      <c r="D89" s="11">
        <v>382718</v>
      </c>
      <c r="E89" s="11">
        <v>218389</v>
      </c>
      <c r="F89" s="11">
        <v>891022</v>
      </c>
      <c r="G89" s="11">
        <v>954814</v>
      </c>
    </row>
    <row r="90" spans="1:7" ht="18" customHeight="1">
      <c r="A90" s="63" t="s">
        <v>178</v>
      </c>
      <c r="B90" s="64"/>
      <c r="C90" s="64"/>
      <c r="D90" s="64"/>
      <c r="E90" s="64"/>
      <c r="F90" s="64"/>
      <c r="G90" s="64"/>
    </row>
    <row r="91" spans="1:7" ht="18" customHeight="1">
      <c r="A91" s="6" t="s">
        <v>95</v>
      </c>
      <c r="B91" s="24">
        <v>2020</v>
      </c>
      <c r="C91" s="24">
        <v>2021</v>
      </c>
      <c r="D91" s="24">
        <v>2022</v>
      </c>
      <c r="E91" s="24">
        <v>2023</v>
      </c>
      <c r="F91" s="24">
        <v>2024</v>
      </c>
      <c r="G91" s="24">
        <v>2025</v>
      </c>
    </row>
    <row r="92" spans="1:7">
      <c r="A92" s="2" t="s">
        <v>179</v>
      </c>
      <c r="B92" s="11">
        <v>1473</v>
      </c>
      <c r="C92" s="11">
        <v>1815</v>
      </c>
      <c r="D92" s="11">
        <v>2156</v>
      </c>
      <c r="E92" s="11">
        <v>2406</v>
      </c>
      <c r="F92" s="11">
        <v>2688</v>
      </c>
      <c r="G92" s="11">
        <v>3033</v>
      </c>
    </row>
    <row r="93" spans="1:7">
      <c r="A93" s="2" t="s">
        <v>180</v>
      </c>
      <c r="B93" s="9">
        <v>573</v>
      </c>
      <c r="C93" s="9">
        <v>710</v>
      </c>
      <c r="D93" s="9">
        <v>848</v>
      </c>
      <c r="E93" s="9">
        <v>948</v>
      </c>
      <c r="F93" s="9">
        <v>1061</v>
      </c>
      <c r="G93" s="9">
        <v>1200</v>
      </c>
    </row>
    <row r="94" spans="1:7">
      <c r="A94" s="2" t="s">
        <v>181</v>
      </c>
      <c r="B94" s="8">
        <f t="shared" ref="B94:G94" si="0">B93*1000/B92</f>
        <v>389.00203665987777</v>
      </c>
      <c r="C94" s="8">
        <f t="shared" si="0"/>
        <v>391.1845730027548</v>
      </c>
      <c r="D94" s="8">
        <f t="shared" si="0"/>
        <v>393.32096474953619</v>
      </c>
      <c r="E94" s="8">
        <f t="shared" si="0"/>
        <v>394.0149625935162</v>
      </c>
      <c r="F94" s="8">
        <f t="shared" si="0"/>
        <v>394.71726190476193</v>
      </c>
      <c r="G94" s="8">
        <f t="shared" si="0"/>
        <v>395.64787339268054</v>
      </c>
    </row>
    <row r="95" spans="1:7">
      <c r="A95" s="2" t="s">
        <v>182</v>
      </c>
      <c r="B95" s="10">
        <v>3.4000000000000002E-2</v>
      </c>
      <c r="C95" s="10">
        <v>5.0999999999999997E-2</v>
      </c>
      <c r="D95" s="10">
        <v>0.14399999999999999</v>
      </c>
      <c r="E95" s="10">
        <v>0.114</v>
      </c>
      <c r="F95" s="10">
        <v>3.5999999999999997E-2</v>
      </c>
      <c r="G95" s="10">
        <v>3.5999999999999997E-2</v>
      </c>
    </row>
    <row r="96" spans="1:7">
      <c r="A96" s="2" t="s">
        <v>183</v>
      </c>
      <c r="B96" s="10">
        <v>0.126</v>
      </c>
      <c r="C96" s="10">
        <v>0.124</v>
      </c>
      <c r="D96" s="10">
        <v>0.28499999999999998</v>
      </c>
      <c r="E96" s="10">
        <v>0.17199999999999999</v>
      </c>
      <c r="F96" s="10">
        <v>5.2999999999999999E-2</v>
      </c>
      <c r="G96" s="10">
        <v>4.3999999999999997E-2</v>
      </c>
    </row>
    <row r="97" spans="1:8">
      <c r="A97" s="2" t="s">
        <v>44</v>
      </c>
      <c r="B97" s="11">
        <v>98040</v>
      </c>
      <c r="C97" s="11">
        <v>98040</v>
      </c>
      <c r="D97" s="11">
        <v>98040</v>
      </c>
      <c r="E97" s="11">
        <v>98040</v>
      </c>
      <c r="F97" s="11">
        <v>98040</v>
      </c>
      <c r="G97" s="11">
        <v>980400</v>
      </c>
    </row>
    <row r="98" spans="1:8" ht="18" customHeight="1">
      <c r="A98" s="63" t="s">
        <v>184</v>
      </c>
      <c r="B98" s="64"/>
      <c r="C98" s="64"/>
      <c r="D98" s="64"/>
      <c r="E98" s="64"/>
      <c r="F98" s="64"/>
      <c r="G98" s="64"/>
    </row>
    <row r="99" spans="1:8" ht="18" customHeight="1">
      <c r="A99" s="6" t="s">
        <v>95</v>
      </c>
      <c r="B99" s="24">
        <v>2020</v>
      </c>
      <c r="C99" s="24">
        <v>2021</v>
      </c>
      <c r="D99" s="24">
        <v>2022</v>
      </c>
      <c r="E99" s="24">
        <v>2023</v>
      </c>
      <c r="F99" s="24">
        <v>2024</v>
      </c>
      <c r="G99" s="24">
        <v>2025</v>
      </c>
      <c r="H99" s="24">
        <v>2026</v>
      </c>
    </row>
    <row r="100" spans="1:8">
      <c r="A100" s="2" t="s">
        <v>61</v>
      </c>
      <c r="B100" s="9">
        <v>200</v>
      </c>
      <c r="C100" s="9">
        <v>300</v>
      </c>
      <c r="D100" s="9">
        <v>330</v>
      </c>
      <c r="E100" s="9">
        <v>420</v>
      </c>
      <c r="F100" s="9">
        <v>400</v>
      </c>
      <c r="G100" s="25">
        <v>43</v>
      </c>
      <c r="H100" s="25">
        <v>32.840000000000003</v>
      </c>
    </row>
    <row r="101" spans="1:8">
      <c r="A101" s="2" t="s">
        <v>36</v>
      </c>
      <c r="B101" s="10">
        <v>1.4999999999999999E-2</v>
      </c>
      <c r="C101" s="10">
        <v>1.9400000000000001E-2</v>
      </c>
      <c r="D101" s="10">
        <v>6.0499999999999998E-2</v>
      </c>
      <c r="E101" s="10">
        <v>5.8099999999999999E-2</v>
      </c>
      <c r="F101" s="10">
        <v>5.5300000000000002E-2</v>
      </c>
      <c r="G101" s="10">
        <v>5.5E-2</v>
      </c>
      <c r="H101" s="10">
        <v>5.8799999999999998E-2</v>
      </c>
    </row>
  </sheetData>
  <mergeCells count="7">
    <mergeCell ref="A90:G90"/>
    <mergeCell ref="A98:G98"/>
    <mergeCell ref="A1:G1"/>
    <mergeCell ref="A2:G2"/>
    <mergeCell ref="A3:G3"/>
    <mergeCell ref="A20:G20"/>
    <mergeCell ref="A62:G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"/>
  <sheetViews>
    <sheetView showGridLines="0" workbookViewId="0">
      <selection activeCell="H14" sqref="H14"/>
    </sheetView>
  </sheetViews>
  <sheetFormatPr defaultRowHeight="13.8"/>
  <cols>
    <col min="1" max="1" width="36" customWidth="1"/>
    <col min="2" max="12" width="13" customWidth="1"/>
  </cols>
  <sheetData>
    <row r="1" spans="1:12" ht="22.05" customHeight="1">
      <c r="A1" s="59" t="s">
        <v>185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30" customHeight="1">
      <c r="A2" s="61" t="s">
        <v>186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2" ht="18" customHeight="1">
      <c r="A3" s="6" t="s">
        <v>2</v>
      </c>
      <c r="B3" s="24">
        <v>2020</v>
      </c>
      <c r="C3" s="24">
        <v>2021</v>
      </c>
      <c r="D3" s="24">
        <v>2022</v>
      </c>
      <c r="E3" s="24">
        <v>2023</v>
      </c>
      <c r="F3" s="24">
        <v>2024</v>
      </c>
      <c r="G3" s="24">
        <v>2025</v>
      </c>
      <c r="H3" s="24">
        <v>2026</v>
      </c>
      <c r="I3" s="24">
        <v>2027</v>
      </c>
      <c r="J3" s="24">
        <v>2028</v>
      </c>
      <c r="K3" s="24">
        <v>2029</v>
      </c>
      <c r="L3" s="24">
        <v>2030</v>
      </c>
    </row>
    <row r="4" spans="1:12" ht="18" customHeight="1">
      <c r="A4" s="6" t="s">
        <v>187</v>
      </c>
      <c r="B4" s="7" t="s">
        <v>54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3</v>
      </c>
      <c r="I4" s="7" t="s">
        <v>19</v>
      </c>
      <c r="J4" s="7" t="s">
        <v>20</v>
      </c>
      <c r="K4" s="7" t="s">
        <v>21</v>
      </c>
      <c r="L4" s="7" t="s">
        <v>4</v>
      </c>
    </row>
    <row r="5" spans="1:12" ht="18" customHeight="1">
      <c r="A5" s="63" t="s">
        <v>188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6" spans="1:12">
      <c r="A6" s="2" t="s">
        <v>179</v>
      </c>
      <c r="B6" s="15">
        <f>'Source Data'!B92</f>
        <v>1473</v>
      </c>
      <c r="C6" s="15">
        <f>'Source Data'!C92</f>
        <v>1815</v>
      </c>
      <c r="D6" s="15">
        <f>'Source Data'!D92</f>
        <v>2156</v>
      </c>
      <c r="E6" s="15">
        <f>'Source Data'!E92</f>
        <v>2406</v>
      </c>
      <c r="F6" s="15">
        <f>'Source Data'!F92</f>
        <v>2688</v>
      </c>
      <c r="G6" s="15">
        <f>'Source Data'!G92</f>
        <v>3033</v>
      </c>
      <c r="H6" s="16">
        <f>G6*(1+Assumptions!B29)</f>
        <v>3336.3</v>
      </c>
      <c r="I6" s="16">
        <f>H6*(1+Assumptions!C29)</f>
        <v>3636.5670000000005</v>
      </c>
      <c r="J6" s="16">
        <f>I6*(1+Assumptions!D29)</f>
        <v>3927.4923600000006</v>
      </c>
      <c r="K6" s="16">
        <f>J6*(1+Assumptions!E29)</f>
        <v>4202.4168252000009</v>
      </c>
      <c r="L6" s="16">
        <f>K6*(1+Assumptions!F29)</f>
        <v>4454.5618347120007</v>
      </c>
    </row>
    <row r="7" spans="1:12">
      <c r="A7" s="2" t="s">
        <v>66</v>
      </c>
      <c r="B7" s="14"/>
      <c r="C7" s="14">
        <f>C6/B6-1</f>
        <v>0.23217922606924635</v>
      </c>
      <c r="D7" s="14">
        <f>D6/C6-1</f>
        <v>0.18787878787878798</v>
      </c>
      <c r="E7" s="14">
        <f>E6/D6-1</f>
        <v>0.11595547309833032</v>
      </c>
      <c r="F7" s="14">
        <f>F6/E6-1</f>
        <v>0.11720698254364081</v>
      </c>
      <c r="G7" s="14">
        <f>G6/F6-1</f>
        <v>0.12834821428571419</v>
      </c>
      <c r="H7" s="13">
        <f>Assumptions!B29</f>
        <v>0.1</v>
      </c>
      <c r="I7" s="13">
        <f>Assumptions!C29</f>
        <v>0.09</v>
      </c>
      <c r="J7" s="13">
        <f>Assumptions!D29</f>
        <v>0.08</v>
      </c>
      <c r="K7" s="13">
        <f>Assumptions!E29</f>
        <v>7.0000000000000007E-2</v>
      </c>
      <c r="L7" s="13">
        <f>Assumptions!F29</f>
        <v>0.06</v>
      </c>
    </row>
    <row r="8" spans="1:12">
      <c r="A8" s="2" t="s">
        <v>180</v>
      </c>
      <c r="B8" s="15">
        <f>'Source Data'!B93</f>
        <v>573</v>
      </c>
      <c r="C8" s="15">
        <f>'Source Data'!C93</f>
        <v>710</v>
      </c>
      <c r="D8" s="15">
        <f>'Source Data'!D93</f>
        <v>848</v>
      </c>
      <c r="E8" s="15">
        <f>'Source Data'!E93</f>
        <v>948</v>
      </c>
      <c r="F8" s="15">
        <f>'Source Data'!F93</f>
        <v>1061</v>
      </c>
      <c r="G8" s="15">
        <f>'Source Data'!G93</f>
        <v>1200</v>
      </c>
      <c r="H8" s="16">
        <f>H6*H10/1000</f>
        <v>1320.0000000000002</v>
      </c>
      <c r="I8" s="16">
        <f>I6*I10/1000</f>
        <v>1438.8000000000002</v>
      </c>
      <c r="J8" s="16">
        <f>J6*J10/1000</f>
        <v>1553.9040000000002</v>
      </c>
      <c r="K8" s="16">
        <f>K6*K10/1000</f>
        <v>1662.6772800000006</v>
      </c>
      <c r="L8" s="16">
        <f>L6*L10/1000</f>
        <v>1762.4379168000005</v>
      </c>
    </row>
    <row r="9" spans="1:12">
      <c r="A9" s="2" t="s">
        <v>189</v>
      </c>
      <c r="B9" s="14"/>
      <c r="C9" s="14">
        <f t="shared" ref="C9:L9" si="0">C8/B8-1</f>
        <v>0.23909249563699819</v>
      </c>
      <c r="D9" s="14">
        <f t="shared" si="0"/>
        <v>0.19436619718309855</v>
      </c>
      <c r="E9" s="14">
        <f t="shared" si="0"/>
        <v>0.11792452830188682</v>
      </c>
      <c r="F9" s="14">
        <f t="shared" si="0"/>
        <v>0.11919831223628696</v>
      </c>
      <c r="G9" s="14">
        <f t="shared" si="0"/>
        <v>0.1310084825636193</v>
      </c>
      <c r="H9" s="13">
        <f t="shared" si="0"/>
        <v>0.10000000000000009</v>
      </c>
      <c r="I9" s="13">
        <f t="shared" si="0"/>
        <v>8.9999999999999858E-2</v>
      </c>
      <c r="J9" s="13">
        <f t="shared" si="0"/>
        <v>8.0000000000000071E-2</v>
      </c>
      <c r="K9" s="13">
        <f t="shared" si="0"/>
        <v>7.0000000000000284E-2</v>
      </c>
      <c r="L9" s="13">
        <f t="shared" si="0"/>
        <v>5.9999999999999831E-2</v>
      </c>
    </row>
    <row r="10" spans="1:12">
      <c r="A10" s="2" t="s">
        <v>181</v>
      </c>
      <c r="B10" s="15">
        <f>'Source Data'!B94</f>
        <v>389.00203665987777</v>
      </c>
      <c r="C10" s="15">
        <f>'Source Data'!C94</f>
        <v>391.1845730027548</v>
      </c>
      <c r="D10" s="15">
        <f>'Source Data'!D94</f>
        <v>393.32096474953619</v>
      </c>
      <c r="E10" s="15">
        <f>'Source Data'!E94</f>
        <v>394.0149625935162</v>
      </c>
      <c r="F10" s="15">
        <f>'Source Data'!F94</f>
        <v>394.71726190476193</v>
      </c>
      <c r="G10" s="15">
        <f>'Source Data'!G94</f>
        <v>395.64787339268054</v>
      </c>
      <c r="H10" s="16">
        <f>G10</f>
        <v>395.64787339268054</v>
      </c>
      <c r="I10" s="16">
        <f>G10</f>
        <v>395.64787339268054</v>
      </c>
      <c r="J10" s="16">
        <f>G10</f>
        <v>395.64787339268054</v>
      </c>
      <c r="K10" s="16">
        <f>G10</f>
        <v>395.64787339268054</v>
      </c>
      <c r="L10" s="16">
        <f>G10</f>
        <v>395.64787339268054</v>
      </c>
    </row>
    <row r="11" spans="1:12">
      <c r="A11" s="2" t="s">
        <v>190</v>
      </c>
      <c r="B11" s="15">
        <f t="shared" ref="B11:L11" si="1">B13/B6</f>
        <v>6874.2803801765103</v>
      </c>
      <c r="C11" s="15">
        <f t="shared" si="1"/>
        <v>7361.9900826446283</v>
      </c>
      <c r="D11" s="15">
        <f t="shared" si="1"/>
        <v>9184.4257884972176</v>
      </c>
      <c r="E11" s="15">
        <f t="shared" si="1"/>
        <v>10667.603906899418</v>
      </c>
      <c r="F11" s="15">
        <f t="shared" si="1"/>
        <v>10890.547619047618</v>
      </c>
      <c r="G11" s="15">
        <f t="shared" si="1"/>
        <v>11089.401582591494</v>
      </c>
      <c r="H11" s="16">
        <f t="shared" si="1"/>
        <v>11588.42465380811</v>
      </c>
      <c r="I11" s="16">
        <f t="shared" si="1"/>
        <v>12051.961639960431</v>
      </c>
      <c r="J11" s="16">
        <f t="shared" si="1"/>
        <v>12473.780297359044</v>
      </c>
      <c r="K11" s="16">
        <f t="shared" si="1"/>
        <v>12847.993706279816</v>
      </c>
      <c r="L11" s="16">
        <f t="shared" si="1"/>
        <v>13207.737530055652</v>
      </c>
    </row>
    <row r="12" spans="1:12">
      <c r="A12" s="2" t="s">
        <v>191</v>
      </c>
      <c r="B12" s="14"/>
      <c r="C12" s="14">
        <f t="shared" ref="C12:L12" si="2">C11/B11-1</f>
        <v>7.094701925084923E-2</v>
      </c>
      <c r="D12" s="14">
        <f t="shared" si="2"/>
        <v>0.24754661245046394</v>
      </c>
      <c r="E12" s="14">
        <f t="shared" si="2"/>
        <v>0.16148838833885137</v>
      </c>
      <c r="F12" s="14">
        <f t="shared" si="2"/>
        <v>2.089913668466914E-2</v>
      </c>
      <c r="G12" s="14">
        <f t="shared" si="2"/>
        <v>1.8259317207894865E-2</v>
      </c>
      <c r="H12" s="13">
        <f t="shared" si="2"/>
        <v>4.4999999999999929E-2</v>
      </c>
      <c r="I12" s="13">
        <f t="shared" si="2"/>
        <v>3.9999999999999813E-2</v>
      </c>
      <c r="J12" s="13">
        <f t="shared" si="2"/>
        <v>3.499999999999992E-2</v>
      </c>
      <c r="K12" s="13">
        <f t="shared" si="2"/>
        <v>3.0000000000000027E-2</v>
      </c>
      <c r="L12" s="13">
        <f t="shared" si="2"/>
        <v>2.8000000000000025E-2</v>
      </c>
    </row>
    <row r="13" spans="1:12">
      <c r="A13" s="2" t="s">
        <v>8</v>
      </c>
      <c r="B13" s="15">
        <f>'Source Data'!B5</f>
        <v>10125815</v>
      </c>
      <c r="C13" s="15">
        <f>'Source Data'!C5</f>
        <v>13362012</v>
      </c>
      <c r="D13" s="15">
        <f>'Source Data'!D5</f>
        <v>19801622</v>
      </c>
      <c r="E13" s="15">
        <f>'Source Data'!E5</f>
        <v>25666255</v>
      </c>
      <c r="F13" s="15">
        <f>'Source Data'!F5</f>
        <v>29273792</v>
      </c>
      <c r="G13" s="15">
        <f>'Source Data'!G5</f>
        <v>33634155</v>
      </c>
      <c r="H13" s="16">
        <f>G13*(1+Assumptions!B26)</f>
        <v>38662461.172499999</v>
      </c>
      <c r="I13" s="16">
        <f>H13*(1+Assumptions!C26)</f>
        <v>43827765.985145994</v>
      </c>
      <c r="J13" s="16">
        <f>I13*(1+Assumptions!D26)</f>
        <v>48990676.818196185</v>
      </c>
      <c r="K13" s="16">
        <f>J13*(1+Assumptions!E26)</f>
        <v>53992624.921334021</v>
      </c>
      <c r="L13" s="16">
        <f>K13*(1+Assumptions!F26)</f>
        <v>58834683.524279252</v>
      </c>
    </row>
    <row r="14" spans="1:12">
      <c r="A14" s="2" t="s">
        <v>192</v>
      </c>
      <c r="B14" s="14"/>
      <c r="C14" s="14">
        <f>C13/B13-1</f>
        <v>0.31959866934167769</v>
      </c>
      <c r="D14" s="14">
        <f>D13/C13-1</f>
        <v>0.48193415781994497</v>
      </c>
      <c r="E14" s="14">
        <f>E13/D13-1</f>
        <v>0.29616932390690009</v>
      </c>
      <c r="F14" s="14">
        <f>F13/E13-1</f>
        <v>0.14055564397688713</v>
      </c>
      <c r="G14" s="14">
        <f>G13/F13-1</f>
        <v>0.14895108225131892</v>
      </c>
      <c r="H14" s="13">
        <f>Assumptions!B26</f>
        <v>0.14949999999999999</v>
      </c>
      <c r="I14" s="13">
        <f>Assumptions!C26</f>
        <v>0.1336</v>
      </c>
      <c r="J14" s="13">
        <f>Assumptions!D26</f>
        <v>0.1178</v>
      </c>
      <c r="K14" s="13">
        <f>Assumptions!E26</f>
        <v>0.1021</v>
      </c>
      <c r="L14" s="13">
        <f>Assumptions!F26</f>
        <v>8.9679999999999996E-2</v>
      </c>
    </row>
    <row r="15" spans="1:12">
      <c r="A15" s="2" t="s">
        <v>24</v>
      </c>
      <c r="B15" s="14">
        <f>'Source Data'!B7/B13</f>
        <v>0.25714759750202826</v>
      </c>
      <c r="C15" s="14">
        <f>'Source Data'!C7/C13</f>
        <v>0.24874023462933575</v>
      </c>
      <c r="D15" s="14">
        <f>'Source Data'!D7/D13</f>
        <v>0.24053544704570162</v>
      </c>
      <c r="E15" s="14">
        <f>'Source Data'!E7/E13</f>
        <v>0.23083991022453412</v>
      </c>
      <c r="F15" s="14">
        <f>'Source Data'!F7/F13</f>
        <v>0.23265038571019428</v>
      </c>
      <c r="G15" s="14">
        <f>'Source Data'!G7/G13</f>
        <v>0.23520962545364971</v>
      </c>
      <c r="H15" s="13">
        <f>Assumptions!B28</f>
        <v>0.23699999999999999</v>
      </c>
      <c r="I15" s="13">
        <f>Assumptions!C28</f>
        <v>0.23799999999999999</v>
      </c>
      <c r="J15" s="13">
        <f>Assumptions!D28</f>
        <v>0.23899999999999999</v>
      </c>
      <c r="K15" s="13">
        <f>Assumptions!E28</f>
        <v>0.24</v>
      </c>
      <c r="L15" s="13">
        <f>Assumptions!F28</f>
        <v>0.24</v>
      </c>
    </row>
    <row r="16" spans="1:12">
      <c r="A16" s="2" t="s">
        <v>193</v>
      </c>
      <c r="B16" s="14">
        <f>'3-Statement Model'!B15/'3-Statement Model'!B6</f>
        <v>8.2744845723529414E-2</v>
      </c>
      <c r="C16" s="14">
        <f>'3-Statement Model'!C15/'3-Statement Model'!C6</f>
        <v>7.6634641549491206E-2</v>
      </c>
      <c r="D16" s="14">
        <f>'3-Statement Model'!D15/'3-Statement Model'!D6</f>
        <v>7.7661264314610193E-2</v>
      </c>
      <c r="E16" s="14">
        <f>'3-Statement Model'!E15/'3-Statement Model'!E6</f>
        <v>7.3086431970694601E-2</v>
      </c>
      <c r="F16" s="14">
        <f>'3-Statement Model'!F15/'3-Statement Model'!F6</f>
        <v>6.5189026416529849E-2</v>
      </c>
      <c r="G16" s="14">
        <f>'3-Statement Model'!G15/'3-Statement Model'!G6</f>
        <v>6.0690747247849695E-2</v>
      </c>
      <c r="H16" s="13">
        <f>'3-Statement Model'!H15/'3-Statement Model'!H6</f>
        <v>6.758093477709011E-2</v>
      </c>
      <c r="I16" s="13">
        <f>'3-Statement Model'!I15/'3-Statement Model'!I6</f>
        <v>7.3411578804708361E-2</v>
      </c>
      <c r="J16" s="13">
        <f>'3-Statement Model'!J15/'3-Statement Model'!J6</f>
        <v>7.8950332383872057E-2</v>
      </c>
      <c r="K16" s="13">
        <f>'3-Statement Model'!K15/'3-Statement Model'!K6</f>
        <v>8.3872045617342406E-2</v>
      </c>
      <c r="L16" s="13">
        <f>'3-Statement Model'!L15/'3-Statement Model'!L6</f>
        <v>8.7676262984550307E-2</v>
      </c>
    </row>
    <row r="17" spans="1:12">
      <c r="A17" s="2" t="s">
        <v>13</v>
      </c>
      <c r="B17" s="14">
        <f>'3-Statement Model'!B18/'3-Statement Model'!B6</f>
        <v>6.3176445550308796E-2</v>
      </c>
      <c r="C17" s="14">
        <f>'3-Statement Model'!C18/'3-Statement Model'!C6</f>
        <v>5.8123731665560549E-2</v>
      </c>
      <c r="D17" s="14">
        <f>'3-Statement Model'!D18/'3-Statement Model'!D6</f>
        <v>6.2504475643459914E-2</v>
      </c>
      <c r="E17" s="14">
        <f>'3-Statement Model'!E18/'3-Statement Model'!E6</f>
        <v>5.918381937684325E-2</v>
      </c>
      <c r="F17" s="14">
        <f>'3-Statement Model'!F18/'3-Statement Model'!F6</f>
        <v>5.1211370224943868E-2</v>
      </c>
      <c r="G17" s="14">
        <f>'3-Statement Model'!G18/'3-Statement Model'!G6</f>
        <v>4.5675326167700661E-2</v>
      </c>
      <c r="H17" s="13">
        <f>'3-Statement Model'!H18/'3-Statement Model'!H6</f>
        <v>5.2580934777090117E-2</v>
      </c>
      <c r="I17" s="13">
        <f>'3-Statement Model'!I18/'3-Statement Model'!I6</f>
        <v>5.8411578804708361E-2</v>
      </c>
      <c r="J17" s="13">
        <f>'3-Statement Model'!J18/'3-Statement Model'!J6</f>
        <v>6.3950332383872044E-2</v>
      </c>
      <c r="K17" s="13">
        <f>'3-Statement Model'!K18/'3-Statement Model'!K6</f>
        <v>6.8872045617342406E-2</v>
      </c>
      <c r="L17" s="13">
        <f>'3-Statement Model'!L18/'3-Statement Model'!L6</f>
        <v>7.2676262984550322E-2</v>
      </c>
    </row>
    <row r="18" spans="1:12">
      <c r="A18" s="2" t="s">
        <v>25</v>
      </c>
      <c r="B18" s="14">
        <f>-'3-Statement Model'!B35/'3-Statement Model'!B6</f>
        <v>9.8957466633549984E-2</v>
      </c>
      <c r="C18" s="14">
        <f>-'3-Statement Model'!C35/'3-Statement Model'!C6</f>
        <v>9.9955306132040594E-2</v>
      </c>
      <c r="D18" s="14">
        <f>-'3-Statement Model'!D35/'3-Statement Model'!D6</f>
        <v>7.3019523350157878E-2</v>
      </c>
      <c r="E18" s="14">
        <f>-'3-Statement Model'!E35/'3-Statement Model'!E6</f>
        <v>4.5696693966455176E-2</v>
      </c>
      <c r="F18" s="14">
        <f>-'3-Statement Model'!F35/'3-Statement Model'!F6</f>
        <v>5.3355369881701697E-2</v>
      </c>
      <c r="G18" s="14">
        <f>-'3-Statement Model'!G35/'3-Statement Model'!G6</f>
        <v>6.2051298746765009E-2</v>
      </c>
      <c r="H18" s="13">
        <f>-'3-Statement Model'!H35/'3-Statement Model'!H6</f>
        <v>6.3E-2</v>
      </c>
      <c r="I18" s="13">
        <f>-'3-Statement Model'!I35/'3-Statement Model'!I6</f>
        <v>6.0999999999999992E-2</v>
      </c>
      <c r="J18" s="13">
        <f>-'3-Statement Model'!J35/'3-Statement Model'!J6</f>
        <v>5.8999999999999997E-2</v>
      </c>
      <c r="K18" s="13">
        <f>-'3-Statement Model'!K35/'3-Statement Model'!K6</f>
        <v>5.7000000000000002E-2</v>
      </c>
      <c r="L18" s="13">
        <f>-'3-Statement Model'!L35/'3-Statement Model'!L6</f>
        <v>5.5E-2</v>
      </c>
    </row>
    <row r="19" spans="1:12">
      <c r="A19" s="2" t="s">
        <v>194</v>
      </c>
      <c r="B19" s="14">
        <f>'3-Statement Model'!B90/'3-Statement Model'!B6</f>
        <v>-7.7461814184833513E-2</v>
      </c>
      <c r="C19" s="14">
        <f>'3-Statement Model'!C90/'3-Statement Model'!C6</f>
        <v>-7.8089736785148828E-2</v>
      </c>
      <c r="D19" s="14">
        <f>'3-Statement Model'!D90/'3-Statement Model'!D6</f>
        <v>-3.4196289576682151E-2</v>
      </c>
      <c r="E19" s="14">
        <f>'3-Statement Model'!E90/'3-Statement Model'!E6</f>
        <v>-2.1295666235685729E-2</v>
      </c>
      <c r="F19" s="14">
        <f>'3-Statement Model'!F90/'3-Statement Model'!F6</f>
        <v>-4.2723402557482131E-2</v>
      </c>
      <c r="G19" s="14">
        <f>'3-Statement Model'!G90/'3-Statement Model'!G6</f>
        <v>-5.0346351796261866E-2</v>
      </c>
      <c r="H19" s="13">
        <f>'3-Statement Model'!H90/'3-Statement Model'!H6</f>
        <v>-6.606421799570926E-2</v>
      </c>
      <c r="I19" s="13">
        <f>'3-Statement Model'!I90/'3-Statement Model'!I6</f>
        <v>-6.5083984960820823E-2</v>
      </c>
      <c r="J19" s="13">
        <f>'3-Statement Model'!J90/'3-Statement Model'!J6</f>
        <v>-6.4275776895468789E-2</v>
      </c>
      <c r="K19" s="13">
        <f>'3-Statement Model'!K90/'3-Statement Model'!K6</f>
        <v>-6.3634000538037319E-2</v>
      </c>
      <c r="L19" s="13">
        <f>'3-Statement Model'!L90/'3-Statement Model'!L6</f>
        <v>-6.3109316625549999E-2</v>
      </c>
    </row>
  </sheetData>
  <mergeCells count="3">
    <mergeCell ref="A1:L1"/>
    <mergeCell ref="A2:L2"/>
    <mergeCell ref="A5:L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0"/>
  <sheetViews>
    <sheetView showGridLines="0" workbookViewId="0"/>
  </sheetViews>
  <sheetFormatPr defaultRowHeight="13.8"/>
  <cols>
    <col min="1" max="1" width="42" customWidth="1"/>
    <col min="2" max="12" width="13" customWidth="1"/>
  </cols>
  <sheetData>
    <row r="1" spans="1:14" ht="22.05" customHeight="1">
      <c r="A1" s="59" t="s">
        <v>195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4" ht="30" customHeight="1">
      <c r="A2" s="61" t="s">
        <v>196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4" ht="18" customHeight="1">
      <c r="A3" s="6" t="s">
        <v>2</v>
      </c>
      <c r="B3" s="24">
        <v>2020</v>
      </c>
      <c r="C3" s="24">
        <v>2021</v>
      </c>
      <c r="D3" s="24">
        <v>2022</v>
      </c>
      <c r="E3" s="24">
        <v>2023</v>
      </c>
      <c r="F3" s="24">
        <v>2024</v>
      </c>
      <c r="G3" s="24">
        <v>2025</v>
      </c>
      <c r="H3" s="24">
        <v>2026</v>
      </c>
      <c r="I3" s="24">
        <v>2027</v>
      </c>
      <c r="J3" s="24">
        <v>2028</v>
      </c>
      <c r="K3" s="24">
        <v>2029</v>
      </c>
      <c r="L3" s="24">
        <v>2030</v>
      </c>
    </row>
    <row r="4" spans="1:14" ht="18" customHeight="1">
      <c r="A4" s="6" t="s">
        <v>187</v>
      </c>
      <c r="B4" s="7" t="s">
        <v>54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3</v>
      </c>
      <c r="I4" s="7" t="s">
        <v>19</v>
      </c>
      <c r="J4" s="7" t="s">
        <v>20</v>
      </c>
      <c r="K4" s="7" t="s">
        <v>21</v>
      </c>
      <c r="L4" s="7" t="s">
        <v>4</v>
      </c>
    </row>
    <row r="5" spans="1:14" ht="18" customHeight="1">
      <c r="A5" s="63" t="s">
        <v>197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6" spans="1:14">
      <c r="A6" s="2" t="s">
        <v>30</v>
      </c>
      <c r="B6" s="15">
        <f>'Source Data'!B5</f>
        <v>10125815</v>
      </c>
      <c r="C6" s="15">
        <f>'Source Data'!C5</f>
        <v>13362012</v>
      </c>
      <c r="D6" s="15">
        <f>'Source Data'!D5</f>
        <v>19801622</v>
      </c>
      <c r="E6" s="15">
        <f>'Source Data'!E5</f>
        <v>25666255</v>
      </c>
      <c r="F6" s="15">
        <f>'Source Data'!F5</f>
        <v>29273792</v>
      </c>
      <c r="G6" s="15">
        <f>'Source Data'!G5</f>
        <v>33634155</v>
      </c>
      <c r="H6" s="16">
        <f>'Operating Drivers'!H13</f>
        <v>38662461.172499999</v>
      </c>
      <c r="I6" s="16">
        <f>'Operating Drivers'!I13</f>
        <v>43827765.985145994</v>
      </c>
      <c r="J6" s="16">
        <f>'Operating Drivers'!J13</f>
        <v>48990676.818196185</v>
      </c>
      <c r="K6" s="16">
        <f>'Operating Drivers'!K13</f>
        <v>53992624.921334021</v>
      </c>
      <c r="L6" s="16">
        <f>'Operating Drivers'!L13</f>
        <v>58834683.524279252</v>
      </c>
    </row>
    <row r="7" spans="1:14">
      <c r="A7" s="2" t="s">
        <v>192</v>
      </c>
      <c r="B7" s="14"/>
      <c r="C7" s="14">
        <f t="shared" ref="C7:L7" si="0">C6/B6-1</f>
        <v>0.31959866934167769</v>
      </c>
      <c r="D7" s="14">
        <f t="shared" si="0"/>
        <v>0.48193415781994497</v>
      </c>
      <c r="E7" s="14">
        <f t="shared" si="0"/>
        <v>0.29616932390690009</v>
      </c>
      <c r="F7" s="14">
        <f t="shared" si="0"/>
        <v>0.14055564397688713</v>
      </c>
      <c r="G7" s="14">
        <f t="shared" si="0"/>
        <v>0.14895108225131892</v>
      </c>
      <c r="H7" s="13">
        <f t="shared" si="0"/>
        <v>0.14949999999999997</v>
      </c>
      <c r="I7" s="13">
        <f t="shared" si="0"/>
        <v>0.13359999999999994</v>
      </c>
      <c r="J7" s="13">
        <f t="shared" si="0"/>
        <v>0.1177999999999999</v>
      </c>
      <c r="K7" s="13">
        <f t="shared" si="0"/>
        <v>0.10210000000000008</v>
      </c>
      <c r="L7" s="13">
        <f t="shared" si="0"/>
        <v>8.9679999999999982E-2</v>
      </c>
    </row>
    <row r="8" spans="1:14">
      <c r="A8" s="2" t="s">
        <v>96</v>
      </c>
      <c r="B8" s="15">
        <f>'Source Data'!B6</f>
        <v>-7521986</v>
      </c>
      <c r="C8" s="15">
        <f>'Source Data'!C6</f>
        <v>-10038342</v>
      </c>
      <c r="D8" s="15">
        <f>'Source Data'!D6</f>
        <v>-15038630</v>
      </c>
      <c r="E8" s="15">
        <f>'Source Data'!E6</f>
        <v>-19741459</v>
      </c>
      <c r="F8" s="15">
        <f>'Source Data'!F6</f>
        <v>-22463233</v>
      </c>
      <c r="G8" s="15">
        <f>'Source Data'!G6</f>
        <v>-25723078</v>
      </c>
      <c r="H8" s="16">
        <f>-H6*(1-Assumptions!B28)</f>
        <v>-29499457.874617498</v>
      </c>
      <c r="I8" s="16">
        <f>-I6*(1-Assumptions!C28)</f>
        <v>-33396757.680681247</v>
      </c>
      <c r="J8" s="16">
        <f>-J6*(1-Assumptions!D28)</f>
        <v>-37281905.058647297</v>
      </c>
      <c r="K8" s="16">
        <f>-K6*(1-Assumptions!E28)</f>
        <v>-41034394.940213859</v>
      </c>
      <c r="L8" s="16">
        <f>-L6*(1-Assumptions!F28)</f>
        <v>-44714359.478452235</v>
      </c>
    </row>
    <row r="9" spans="1:14">
      <c r="A9" s="17" t="s">
        <v>198</v>
      </c>
      <c r="B9" s="35">
        <f t="shared" ref="B9:L9" si="1">B6+B8</f>
        <v>2603829</v>
      </c>
      <c r="C9" s="35">
        <f t="shared" si="1"/>
        <v>3323670</v>
      </c>
      <c r="D9" s="35">
        <f t="shared" si="1"/>
        <v>4762992</v>
      </c>
      <c r="E9" s="35">
        <f t="shared" si="1"/>
        <v>5924796</v>
      </c>
      <c r="F9" s="35">
        <f t="shared" si="1"/>
        <v>6810559</v>
      </c>
      <c r="G9" s="35">
        <f t="shared" si="1"/>
        <v>7911077</v>
      </c>
      <c r="H9" s="36">
        <f t="shared" si="1"/>
        <v>9163003.297882501</v>
      </c>
      <c r="I9" s="36">
        <f t="shared" si="1"/>
        <v>10431008.304464746</v>
      </c>
      <c r="J9" s="36">
        <f t="shared" si="1"/>
        <v>11708771.759548888</v>
      </c>
      <c r="K9" s="36">
        <f t="shared" si="1"/>
        <v>12958229.981120162</v>
      </c>
      <c r="L9" s="36">
        <f t="shared" si="1"/>
        <v>14120324.045827016</v>
      </c>
    </row>
    <row r="10" spans="1:14">
      <c r="A10" s="2" t="s">
        <v>24</v>
      </c>
      <c r="B10" s="14">
        <f t="shared" ref="B10:L10" si="2">B9/B6</f>
        <v>0.25714759750202826</v>
      </c>
      <c r="C10" s="14">
        <f t="shared" si="2"/>
        <v>0.24874023462933575</v>
      </c>
      <c r="D10" s="14">
        <f t="shared" si="2"/>
        <v>0.24053544704570162</v>
      </c>
      <c r="E10" s="14">
        <f t="shared" si="2"/>
        <v>0.23083991022453412</v>
      </c>
      <c r="F10" s="14">
        <f t="shared" si="2"/>
        <v>0.23265038571019428</v>
      </c>
      <c r="G10" s="14">
        <f t="shared" si="2"/>
        <v>0.23520962545364971</v>
      </c>
      <c r="H10" s="13">
        <f t="shared" si="2"/>
        <v>0.23700000000000004</v>
      </c>
      <c r="I10" s="13">
        <f t="shared" si="2"/>
        <v>0.23799999999999999</v>
      </c>
      <c r="J10" s="13">
        <f t="shared" si="2"/>
        <v>0.23899999999999999</v>
      </c>
      <c r="K10" s="13">
        <f t="shared" si="2"/>
        <v>0.23999999999999994</v>
      </c>
      <c r="L10" s="13">
        <f t="shared" si="2"/>
        <v>0.23999999999999994</v>
      </c>
    </row>
    <row r="11" spans="1:14">
      <c r="A11" s="2" t="s">
        <v>98</v>
      </c>
      <c r="B11" s="15">
        <f>'Source Data'!B8</f>
        <v>7598</v>
      </c>
      <c r="C11" s="15">
        <f>'Source Data'!C8</f>
        <v>14364</v>
      </c>
      <c r="D11" s="15">
        <f>'Source Data'!D8</f>
        <v>16282</v>
      </c>
      <c r="E11" s="15">
        <f>'Source Data'!E8</f>
        <v>13477</v>
      </c>
      <c r="F11" s="15">
        <f>'Source Data'!F8</f>
        <v>24185</v>
      </c>
      <c r="G11" s="15">
        <f>'Source Data'!G8</f>
        <v>29231</v>
      </c>
      <c r="H11" s="16">
        <f>H6*Assumptions!B30</f>
        <v>30929.968938000002</v>
      </c>
      <c r="I11" s="16">
        <f>I6*Assumptions!C30</f>
        <v>35062.212788116798</v>
      </c>
      <c r="J11" s="16">
        <f>J6*Assumptions!D30</f>
        <v>39192.541454556951</v>
      </c>
      <c r="K11" s="16">
        <f>K6*Assumptions!E30</f>
        <v>43194.099937067222</v>
      </c>
      <c r="L11" s="16">
        <f>L6*Assumptions!F30</f>
        <v>47067.746819423402</v>
      </c>
    </row>
    <row r="12" spans="1:14">
      <c r="A12" s="2" t="s">
        <v>199</v>
      </c>
      <c r="B12" s="15">
        <f>'Source Data'!B9</f>
        <v>-1668084</v>
      </c>
      <c r="C12" s="15">
        <f>'Source Data'!C9</f>
        <v>-2181963</v>
      </c>
      <c r="D12" s="15">
        <f>'Source Data'!D9</f>
        <v>-3080061</v>
      </c>
      <c r="E12" s="15">
        <f>'Source Data'!E9</f>
        <v>-3878421</v>
      </c>
      <c r="F12" s="15">
        <f>'Source Data'!F9</f>
        <v>-4678717</v>
      </c>
      <c r="G12" s="15">
        <f>'Source Data'!G9</f>
        <v>-5576262</v>
      </c>
      <c r="H12" s="16">
        <f>G12*(1+Assumptions!B27+Assumptions!B29-2%)</f>
        <v>-6245413.4400000004</v>
      </c>
      <c r="I12" s="16">
        <f>H12*(1+Assumptions!C27+Assumptions!C29-2%)</f>
        <v>-6901181.8512000004</v>
      </c>
      <c r="J12" s="16">
        <f>I12*(1+Assumptions!D27+Assumptions!D29-2%)</f>
        <v>-7522288.2178080007</v>
      </c>
      <c r="K12" s="16">
        <f>J12*(1+Assumptions!E27+Assumptions!E29-2%)</f>
        <v>-8105265.5546881221</v>
      </c>
      <c r="L12" s="16">
        <f>K12*(1+Assumptions!F27+Assumptions!F29-2%)</f>
        <v>-8632107.8157428503</v>
      </c>
    </row>
    <row r="13" spans="1:14">
      <c r="A13" s="2" t="s">
        <v>200</v>
      </c>
      <c r="B13" s="15">
        <f>'Source Data'!B10</f>
        <v>-99783</v>
      </c>
      <c r="C13" s="15">
        <f>'Source Data'!C10</f>
        <v>-117285</v>
      </c>
      <c r="D13" s="15">
        <f>'Source Data'!D10</f>
        <v>-143217</v>
      </c>
      <c r="E13" s="15">
        <f>'Source Data'!E10</f>
        <v>-173736</v>
      </c>
      <c r="F13" s="15">
        <f>'Source Data'!F10</f>
        <v>-233653</v>
      </c>
      <c r="G13" s="15">
        <f>'Source Data'!G10</f>
        <v>-302944</v>
      </c>
      <c r="H13" s="16">
        <f>G13*(1+Assumptions!B27)</f>
        <v>-315061.76000000001</v>
      </c>
      <c r="I13" s="16">
        <f>H13*(1+Assumptions!C27)</f>
        <v>-326088.9216</v>
      </c>
      <c r="J13" s="16">
        <f>I13*(1+Assumptions!D27)</f>
        <v>-335871.589248</v>
      </c>
      <c r="K13" s="16">
        <f>J13*(1+Assumptions!E27)</f>
        <v>-345108.05795232003</v>
      </c>
      <c r="L13" s="16">
        <f>K13*(1+Assumptions!F27)</f>
        <v>-353735.75940112799</v>
      </c>
    </row>
    <row r="14" spans="1:14">
      <c r="A14" s="2" t="s">
        <v>101</v>
      </c>
      <c r="B14" s="15">
        <f>'Source Data'!B11</f>
        <v>-5701</v>
      </c>
      <c r="C14" s="15">
        <f>'Source Data'!C11</f>
        <v>-14793</v>
      </c>
      <c r="D14" s="15">
        <f>'Source Data'!D11</f>
        <v>-18177</v>
      </c>
      <c r="E14" s="15">
        <f>'Source Data'!E11</f>
        <v>-10261</v>
      </c>
      <c r="F14" s="15">
        <f>'Source Data'!F11</f>
        <v>-14044</v>
      </c>
      <c r="G14" s="15">
        <f>'Source Data'!G11</f>
        <v>-19820</v>
      </c>
      <c r="H14" s="16">
        <f>G14*(1+Assumptions!B27)</f>
        <v>-20612.8</v>
      </c>
      <c r="I14" s="16">
        <f>H14*(1+Assumptions!C27)</f>
        <v>-21334.247999999996</v>
      </c>
      <c r="J14" s="16">
        <f>I14*(1+Assumptions!D27)</f>
        <v>-21974.275439999998</v>
      </c>
      <c r="K14" s="16">
        <f>J14*(1+Assumptions!E27)</f>
        <v>-22578.568014599998</v>
      </c>
      <c r="L14" s="16">
        <f>K14*(1+Assumptions!F27)</f>
        <v>-23143.032214964995</v>
      </c>
      <c r="N14" s="46"/>
    </row>
    <row r="15" spans="1:14">
      <c r="A15" s="17" t="s">
        <v>31</v>
      </c>
      <c r="B15" s="35">
        <f t="shared" ref="B15:L15" si="3">SUM(B6,B8,B11,B12,B13,B14)</f>
        <v>837859</v>
      </c>
      <c r="C15" s="35">
        <f t="shared" si="3"/>
        <v>1023993</v>
      </c>
      <c r="D15" s="35">
        <f t="shared" si="3"/>
        <v>1537819</v>
      </c>
      <c r="E15" s="35">
        <f t="shared" si="3"/>
        <v>1875855</v>
      </c>
      <c r="F15" s="35">
        <f t="shared" si="3"/>
        <v>1908330</v>
      </c>
      <c r="G15" s="35">
        <f t="shared" si="3"/>
        <v>2041282</v>
      </c>
      <c r="H15" s="36">
        <f t="shared" si="3"/>
        <v>2612845.2668205015</v>
      </c>
      <c r="I15" s="36">
        <f t="shared" si="3"/>
        <v>3217465.4964528619</v>
      </c>
      <c r="J15" s="36">
        <f t="shared" si="3"/>
        <v>3867830.218507444</v>
      </c>
      <c r="K15" s="36">
        <f t="shared" si="3"/>
        <v>4528471.9004021855</v>
      </c>
      <c r="L15" s="36">
        <f t="shared" si="3"/>
        <v>5158405.185287497</v>
      </c>
    </row>
    <row r="16" spans="1:14">
      <c r="A16" s="2" t="s">
        <v>193</v>
      </c>
      <c r="B16" s="14">
        <f t="shared" ref="B16:L16" si="4">B15/B6</f>
        <v>8.2744845723529414E-2</v>
      </c>
      <c r="C16" s="14">
        <f t="shared" si="4"/>
        <v>7.6634641549491206E-2</v>
      </c>
      <c r="D16" s="14">
        <f t="shared" si="4"/>
        <v>7.7661264314610193E-2</v>
      </c>
      <c r="E16" s="14">
        <f t="shared" si="4"/>
        <v>7.3086431970694601E-2</v>
      </c>
      <c r="F16" s="14">
        <f t="shared" si="4"/>
        <v>6.5189026416529849E-2</v>
      </c>
      <c r="G16" s="14">
        <f t="shared" si="4"/>
        <v>6.0690747247849695E-2</v>
      </c>
      <c r="H16" s="13">
        <f t="shared" si="4"/>
        <v>6.758093477709011E-2</v>
      </c>
      <c r="I16" s="13">
        <f t="shared" si="4"/>
        <v>7.3411578804708361E-2</v>
      </c>
      <c r="J16" s="13">
        <f t="shared" si="4"/>
        <v>7.8950332383872057E-2</v>
      </c>
      <c r="K16" s="13">
        <f t="shared" si="4"/>
        <v>8.3872045617342406E-2</v>
      </c>
      <c r="L16" s="13">
        <f t="shared" si="4"/>
        <v>8.7676262984550307E-2</v>
      </c>
    </row>
    <row r="17" spans="1:12">
      <c r="A17" s="2" t="s">
        <v>201</v>
      </c>
      <c r="B17" s="15">
        <f>-'Source Data'!B64</f>
        <v>-198146</v>
      </c>
      <c r="C17" s="15">
        <f>-'Source Data'!C64</f>
        <v>-247343</v>
      </c>
      <c r="D17" s="15">
        <f>-'Source Data'!D64</f>
        <v>-300129</v>
      </c>
      <c r="E17" s="15">
        <f>-'Source Data'!E64</f>
        <v>-356828</v>
      </c>
      <c r="F17" s="15">
        <f>-'Source Data'!F64</f>
        <v>-409179</v>
      </c>
      <c r="G17" s="15">
        <f>-'Source Data'!G64</f>
        <v>-505031</v>
      </c>
      <c r="H17" s="16">
        <f>-H6*Assumptions!B31</f>
        <v>-579936.91758749995</v>
      </c>
      <c r="I17" s="16">
        <f>-I6*Assumptions!C31</f>
        <v>-657416.48977718991</v>
      </c>
      <c r="J17" s="16">
        <f>-J6*Assumptions!D31</f>
        <v>-734860.15227294271</v>
      </c>
      <c r="K17" s="16">
        <f>-K6*Assumptions!E31</f>
        <v>-809889.37382001034</v>
      </c>
      <c r="L17" s="16">
        <f>-L6*Assumptions!F31</f>
        <v>-882520.25286418875</v>
      </c>
    </row>
    <row r="18" spans="1:12">
      <c r="A18" s="17" t="s">
        <v>202</v>
      </c>
      <c r="B18" s="35">
        <f t="shared" ref="B18:L18" si="5">B15+B17</f>
        <v>639713</v>
      </c>
      <c r="C18" s="35">
        <f t="shared" si="5"/>
        <v>776650</v>
      </c>
      <c r="D18" s="35">
        <f t="shared" si="5"/>
        <v>1237690</v>
      </c>
      <c r="E18" s="35">
        <f t="shared" si="5"/>
        <v>1519027</v>
      </c>
      <c r="F18" s="35">
        <f t="shared" si="5"/>
        <v>1499151</v>
      </c>
      <c r="G18" s="35">
        <f t="shared" si="5"/>
        <v>1536251</v>
      </c>
      <c r="H18" s="36">
        <f t="shared" si="5"/>
        <v>2032908.3492330015</v>
      </c>
      <c r="I18" s="36">
        <f t="shared" si="5"/>
        <v>2560049.0066756718</v>
      </c>
      <c r="J18" s="36">
        <f t="shared" si="5"/>
        <v>3132970.0662345011</v>
      </c>
      <c r="K18" s="36">
        <f t="shared" si="5"/>
        <v>3718582.5265821749</v>
      </c>
      <c r="L18" s="36">
        <f t="shared" si="5"/>
        <v>4275884.9324233085</v>
      </c>
    </row>
    <row r="19" spans="1:12">
      <c r="A19" s="2" t="s">
        <v>13</v>
      </c>
      <c r="B19" s="14">
        <f t="shared" ref="B19:L19" si="6">B18/B6</f>
        <v>6.3176445550308796E-2</v>
      </c>
      <c r="C19" s="14">
        <f t="shared" si="6"/>
        <v>5.8123731665560549E-2</v>
      </c>
      <c r="D19" s="14">
        <f t="shared" si="6"/>
        <v>6.2504475643459914E-2</v>
      </c>
      <c r="E19" s="14">
        <f t="shared" si="6"/>
        <v>5.918381937684325E-2</v>
      </c>
      <c r="F19" s="14">
        <f t="shared" si="6"/>
        <v>5.1211370224943868E-2</v>
      </c>
      <c r="G19" s="14">
        <f t="shared" si="6"/>
        <v>4.5675326167700661E-2</v>
      </c>
      <c r="H19" s="13">
        <f t="shared" si="6"/>
        <v>5.2580934777090117E-2</v>
      </c>
      <c r="I19" s="13">
        <f t="shared" si="6"/>
        <v>5.8411578804708361E-2</v>
      </c>
      <c r="J19" s="13">
        <f t="shared" si="6"/>
        <v>6.3950332383872044E-2</v>
      </c>
      <c r="K19" s="13">
        <f t="shared" si="6"/>
        <v>6.8872045617342406E-2</v>
      </c>
      <c r="L19" s="13">
        <f t="shared" si="6"/>
        <v>7.2676262984550322E-2</v>
      </c>
    </row>
    <row r="20" spans="1:12">
      <c r="A20" s="2" t="s">
        <v>103</v>
      </c>
      <c r="B20" s="15">
        <f>'Source Data'!B13</f>
        <v>3237</v>
      </c>
      <c r="C20" s="15">
        <f>'Source Data'!C13</f>
        <v>1119</v>
      </c>
      <c r="D20" s="15">
        <f>'Source Data'!D13</f>
        <v>5092</v>
      </c>
      <c r="E20" s="15">
        <f>'Source Data'!E13</f>
        <v>10442</v>
      </c>
      <c r="F20" s="15">
        <f>'Source Data'!F13</f>
        <v>6657</v>
      </c>
      <c r="G20" s="15">
        <f>'Source Data'!G13</f>
        <v>8316</v>
      </c>
      <c r="H20" s="16">
        <f>G44*Assumptions!B14</f>
        <v>19096.28</v>
      </c>
      <c r="I20" s="16">
        <f>H44*Assumptions!B14</f>
        <v>28908.574193188324</v>
      </c>
      <c r="J20" s="16">
        <f>I44*Assumptions!B14</f>
        <v>32593.487919584</v>
      </c>
      <c r="K20" s="16">
        <f>J44*Assumptions!B14</f>
        <v>42707.569290886022</v>
      </c>
      <c r="L20" s="16">
        <f>K44*Assumptions!B14</f>
        <v>59966.398809720064</v>
      </c>
    </row>
    <row r="21" spans="1:12">
      <c r="A21" s="2" t="s">
        <v>203</v>
      </c>
      <c r="B21" s="44">
        <v>-30379</v>
      </c>
      <c r="C21" s="44">
        <v>-26155</v>
      </c>
      <c r="D21" s="44">
        <v>-124832</v>
      </c>
      <c r="E21" s="44">
        <v>-127285</v>
      </c>
      <c r="F21" s="44">
        <v>-90957</v>
      </c>
      <c r="G21" s="44">
        <v>-67946</v>
      </c>
      <c r="H21" s="16">
        <f>-'Debt &amp; WACC'!H20</f>
        <v>-49723.240000000005</v>
      </c>
      <c r="I21" s="16">
        <f>-'Debt &amp; WACC'!I20</f>
        <v>-43423.240000000005</v>
      </c>
      <c r="J21" s="16">
        <f>-'Debt &amp; WACC'!J20</f>
        <v>-37123.240000000005</v>
      </c>
      <c r="K21" s="16">
        <f>-'Debt &amp; WACC'!K20</f>
        <v>-30823.24</v>
      </c>
      <c r="L21" s="16">
        <f>-'Debt &amp; WACC'!L20</f>
        <v>-24523.24</v>
      </c>
    </row>
    <row r="22" spans="1:12">
      <c r="A22" s="2" t="s">
        <v>204</v>
      </c>
      <c r="B22" s="45">
        <v>-18139</v>
      </c>
      <c r="C22" s="45">
        <v>-20434</v>
      </c>
      <c r="D22" s="45">
        <v>-15839</v>
      </c>
      <c r="E22" s="45">
        <v>-19600</v>
      </c>
      <c r="F22" s="45">
        <v>-29836</v>
      </c>
      <c r="G22" s="45">
        <v>54614</v>
      </c>
      <c r="H22" s="16">
        <f>-'Debt &amp; WACC'!H18</f>
        <v>-57139.928999999996</v>
      </c>
      <c r="I22" s="16">
        <f>-'Debt &amp; WACC'!I18</f>
        <v>-86222.584642232861</v>
      </c>
      <c r="J22" s="16">
        <f>-'Debt &amp; WACC'!J18</f>
        <v>-97741.921950435179</v>
      </c>
      <c r="K22" s="16">
        <f>-'Debt &amp; WACC'!K18</f>
        <v>-108517.70467811401</v>
      </c>
      <c r="L22" s="16">
        <f>-'Debt &amp; WACC'!L18</f>
        <v>-118783.77482693484</v>
      </c>
    </row>
    <row r="23" spans="1:12">
      <c r="A23" s="2" t="s">
        <v>205</v>
      </c>
      <c r="B23" s="45">
        <v>-3494</v>
      </c>
      <c r="C23" s="45">
        <v>-56</v>
      </c>
      <c r="D23" s="45">
        <v>-622</v>
      </c>
      <c r="E23" s="45">
        <v>-431</v>
      </c>
      <c r="F23" s="45">
        <v>-560</v>
      </c>
      <c r="G23" s="45">
        <v>-277</v>
      </c>
      <c r="H23" s="16">
        <f>-'Debt &amp; WACC'!H19</f>
        <v>0</v>
      </c>
      <c r="I23" s="16">
        <f>-'Debt &amp; WACC'!I19</f>
        <v>0</v>
      </c>
      <c r="J23" s="16">
        <f>-'Debt &amp; WACC'!J19</f>
        <v>0</v>
      </c>
      <c r="K23" s="16">
        <f>-'Debt &amp; WACC'!K19</f>
        <v>0</v>
      </c>
      <c r="L23" s="16">
        <f>-'Debt &amp; WACC'!L19</f>
        <v>0</v>
      </c>
    </row>
    <row r="24" spans="1:12">
      <c r="A24" s="2" t="s">
        <v>89</v>
      </c>
      <c r="B24" s="45">
        <v>-84</v>
      </c>
      <c r="C24" s="45">
        <v>-58</v>
      </c>
      <c r="D24" s="45">
        <v>0</v>
      </c>
      <c r="E24" s="45">
        <v>0</v>
      </c>
      <c r="F24" s="45">
        <v>-71</v>
      </c>
      <c r="G24" s="45">
        <v>-108</v>
      </c>
      <c r="H24" s="3">
        <f>-Assumptions!B53</f>
        <v>0</v>
      </c>
      <c r="I24" s="3">
        <f>-Assumptions!C53</f>
        <v>0</v>
      </c>
      <c r="J24" s="3">
        <f>-Assumptions!D53</f>
        <v>0</v>
      </c>
      <c r="K24" s="3">
        <f>-Assumptions!E53</f>
        <v>0</v>
      </c>
      <c r="L24" s="3">
        <f>-Assumptions!F53</f>
        <v>0</v>
      </c>
    </row>
    <row r="25" spans="1:12">
      <c r="A25" s="17" t="s">
        <v>206</v>
      </c>
      <c r="B25" s="35">
        <f t="shared" ref="B25:L25" si="7">SUM(B21:B24)</f>
        <v>-52096</v>
      </c>
      <c r="C25" s="35">
        <f t="shared" si="7"/>
        <v>-46703</v>
      </c>
      <c r="D25" s="35">
        <f t="shared" si="7"/>
        <v>-141293</v>
      </c>
      <c r="E25" s="35">
        <f t="shared" si="7"/>
        <v>-147316</v>
      </c>
      <c r="F25" s="35">
        <f t="shared" si="7"/>
        <v>-121424</v>
      </c>
      <c r="G25" s="35">
        <f t="shared" si="7"/>
        <v>-13717</v>
      </c>
      <c r="H25" s="36">
        <f t="shared" si="7"/>
        <v>-106863.16899999999</v>
      </c>
      <c r="I25" s="36">
        <f t="shared" si="7"/>
        <v>-129645.82464223287</v>
      </c>
      <c r="J25" s="36">
        <f t="shared" si="7"/>
        <v>-134865.1619504352</v>
      </c>
      <c r="K25" s="36">
        <f t="shared" si="7"/>
        <v>-139340.944678114</v>
      </c>
      <c r="L25" s="36">
        <f t="shared" si="7"/>
        <v>-143307.01482693484</v>
      </c>
    </row>
    <row r="26" spans="1:12">
      <c r="A26" s="17" t="s">
        <v>105</v>
      </c>
      <c r="B26" s="35">
        <f t="shared" ref="B26:L26" si="8">B18+B20+B25</f>
        <v>590854</v>
      </c>
      <c r="C26" s="35">
        <f t="shared" si="8"/>
        <v>731066</v>
      </c>
      <c r="D26" s="35">
        <f t="shared" si="8"/>
        <v>1101489</v>
      </c>
      <c r="E26" s="35">
        <f t="shared" si="8"/>
        <v>1382153</v>
      </c>
      <c r="F26" s="35">
        <f t="shared" si="8"/>
        <v>1384384</v>
      </c>
      <c r="G26" s="35">
        <f t="shared" si="8"/>
        <v>1530850</v>
      </c>
      <c r="H26" s="36">
        <f t="shared" si="8"/>
        <v>1945141.4602330015</v>
      </c>
      <c r="I26" s="36">
        <f t="shared" si="8"/>
        <v>2459311.7562266272</v>
      </c>
      <c r="J26" s="36">
        <f t="shared" si="8"/>
        <v>3030698.39220365</v>
      </c>
      <c r="K26" s="36">
        <f t="shared" si="8"/>
        <v>3621949.1511949473</v>
      </c>
      <c r="L26" s="36">
        <f t="shared" si="8"/>
        <v>4192544.3164060935</v>
      </c>
    </row>
    <row r="27" spans="1:12">
      <c r="A27" s="2" t="s">
        <v>106</v>
      </c>
      <c r="B27" s="15">
        <f>'Source Data'!B16</f>
        <v>-145083</v>
      </c>
      <c r="C27" s="15">
        <f>'Source Data'!C16</f>
        <v>-173106</v>
      </c>
      <c r="D27" s="15">
        <f>'Source Data'!D16</f>
        <v>-269531</v>
      </c>
      <c r="E27" s="15">
        <f>'Source Data'!E16</f>
        <v>-333654</v>
      </c>
      <c r="F27" s="15">
        <f>'Source Data'!F16</f>
        <v>-287834</v>
      </c>
      <c r="G27" s="15">
        <f>'Source Data'!G16</f>
        <v>-367856</v>
      </c>
      <c r="H27" s="16">
        <f>-H26*Assumptions!B15</f>
        <v>-369576.8774442703</v>
      </c>
      <c r="I27" s="16">
        <f>-I26*Assumptions!B15</f>
        <v>-467269.23368305917</v>
      </c>
      <c r="J27" s="16">
        <f>-J26*Assumptions!B15</f>
        <v>-575832.69451869349</v>
      </c>
      <c r="K27" s="16">
        <f>-K26*Assumptions!B15</f>
        <v>-688170.33872703998</v>
      </c>
      <c r="L27" s="16">
        <f>-L26*Assumptions!B15</f>
        <v>-796583.42011715774</v>
      </c>
    </row>
    <row r="28" spans="1:12">
      <c r="A28" s="17" t="s">
        <v>207</v>
      </c>
      <c r="B28" s="35">
        <f t="shared" ref="B28:L28" si="9">B26+B27</f>
        <v>445771</v>
      </c>
      <c r="C28" s="35">
        <f t="shared" si="9"/>
        <v>557960</v>
      </c>
      <c r="D28" s="35">
        <f t="shared" si="9"/>
        <v>831958</v>
      </c>
      <c r="E28" s="35">
        <f t="shared" si="9"/>
        <v>1048499</v>
      </c>
      <c r="F28" s="35">
        <f t="shared" si="9"/>
        <v>1096550</v>
      </c>
      <c r="G28" s="35">
        <f t="shared" si="9"/>
        <v>1162994</v>
      </c>
      <c r="H28" s="36">
        <f t="shared" si="9"/>
        <v>1575564.5827887312</v>
      </c>
      <c r="I28" s="36">
        <f t="shared" si="9"/>
        <v>1992042.5225435679</v>
      </c>
      <c r="J28" s="36">
        <f t="shared" si="9"/>
        <v>2454865.6976849567</v>
      </c>
      <c r="K28" s="36">
        <f t="shared" si="9"/>
        <v>2933778.8124679076</v>
      </c>
      <c r="L28" s="36">
        <f t="shared" si="9"/>
        <v>3395960.896288936</v>
      </c>
    </row>
    <row r="29" spans="1:12">
      <c r="A29" s="2" t="s">
        <v>208</v>
      </c>
      <c r="B29" s="14">
        <f t="shared" ref="B29:L29" si="10">B28/B6</f>
        <v>4.4023221834489375E-2</v>
      </c>
      <c r="C29" s="14">
        <f t="shared" si="10"/>
        <v>4.1757184471919347E-2</v>
      </c>
      <c r="D29" s="14">
        <f t="shared" si="10"/>
        <v>4.2014639002804922E-2</v>
      </c>
      <c r="E29" s="14">
        <f t="shared" si="10"/>
        <v>4.0851265601467762E-2</v>
      </c>
      <c r="F29" s="14">
        <f t="shared" si="10"/>
        <v>3.745842014591072E-2</v>
      </c>
      <c r="G29" s="14">
        <f t="shared" si="10"/>
        <v>3.457776774829039E-2</v>
      </c>
      <c r="H29" s="13">
        <f t="shared" si="10"/>
        <v>4.0751792177922845E-2</v>
      </c>
      <c r="I29" s="13">
        <f t="shared" si="10"/>
        <v>4.5451609904522773E-2</v>
      </c>
      <c r="J29" s="13">
        <f t="shared" si="10"/>
        <v>5.0108834111333753E-2</v>
      </c>
      <c r="K29" s="13">
        <f t="shared" si="10"/>
        <v>5.4336658325879764E-2</v>
      </c>
      <c r="L29" s="13">
        <f t="shared" si="10"/>
        <v>5.7720390301539193E-2</v>
      </c>
    </row>
    <row r="30" spans="1:12" ht="18" customHeight="1">
      <c r="A30" s="63" t="s">
        <v>209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</row>
    <row r="31" spans="1:12">
      <c r="A31" s="2" t="s">
        <v>207</v>
      </c>
      <c r="B31" s="15">
        <f t="shared" ref="B31:L31" si="11">B28</f>
        <v>445771</v>
      </c>
      <c r="C31" s="15">
        <f t="shared" si="11"/>
        <v>557960</v>
      </c>
      <c r="D31" s="15">
        <f t="shared" si="11"/>
        <v>831958</v>
      </c>
      <c r="E31" s="15">
        <f t="shared" si="11"/>
        <v>1048499</v>
      </c>
      <c r="F31" s="15">
        <f t="shared" si="11"/>
        <v>1096550</v>
      </c>
      <c r="G31" s="15">
        <f t="shared" si="11"/>
        <v>1162994</v>
      </c>
      <c r="H31" s="16">
        <f t="shared" si="11"/>
        <v>1575564.5827887312</v>
      </c>
      <c r="I31" s="16">
        <f t="shared" si="11"/>
        <v>1992042.5225435679</v>
      </c>
      <c r="J31" s="16">
        <f t="shared" si="11"/>
        <v>2454865.6976849567</v>
      </c>
      <c r="K31" s="16">
        <f t="shared" si="11"/>
        <v>2933778.8124679076</v>
      </c>
      <c r="L31" s="16">
        <f t="shared" si="11"/>
        <v>3395960.896288936</v>
      </c>
    </row>
    <row r="32" spans="1:12">
      <c r="A32" s="2" t="s">
        <v>210</v>
      </c>
      <c r="B32" s="15">
        <f t="shared" ref="B32:L32" si="12">-B17</f>
        <v>198146</v>
      </c>
      <c r="C32" s="15">
        <f t="shared" si="12"/>
        <v>247343</v>
      </c>
      <c r="D32" s="15">
        <f t="shared" si="12"/>
        <v>300129</v>
      </c>
      <c r="E32" s="15">
        <f t="shared" si="12"/>
        <v>356828</v>
      </c>
      <c r="F32" s="15">
        <f t="shared" si="12"/>
        <v>409179</v>
      </c>
      <c r="G32" s="15">
        <f t="shared" si="12"/>
        <v>505031</v>
      </c>
      <c r="H32" s="16">
        <f t="shared" si="12"/>
        <v>579936.91758749995</v>
      </c>
      <c r="I32" s="16">
        <f t="shared" si="12"/>
        <v>657416.48977718991</v>
      </c>
      <c r="J32" s="16">
        <f t="shared" si="12"/>
        <v>734860.15227294271</v>
      </c>
      <c r="K32" s="16">
        <f t="shared" si="12"/>
        <v>809889.37382001034</v>
      </c>
      <c r="L32" s="16">
        <f t="shared" si="12"/>
        <v>882520.25286418875</v>
      </c>
    </row>
    <row r="33" spans="1:12">
      <c r="A33" s="2" t="s">
        <v>211</v>
      </c>
      <c r="B33" s="15">
        <f>'Source Data'!B72-B31-B32</f>
        <v>176005</v>
      </c>
      <c r="C33" s="15">
        <f>'Source Data'!C72-C31-C32</f>
        <v>521028</v>
      </c>
      <c r="D33" s="15">
        <f>'Source Data'!D72-D31-D32</f>
        <v>121335</v>
      </c>
      <c r="E33" s="15">
        <f>'Source Data'!E72-E31-E32</f>
        <v>366213</v>
      </c>
      <c r="F33" s="15">
        <f>'Source Data'!F72-F31-F32</f>
        <v>1051724</v>
      </c>
      <c r="G33" s="15">
        <f>'Source Data'!G72-G31-G32</f>
        <v>1029420</v>
      </c>
      <c r="H33" s="16">
        <f>-(H90-G90)</f>
        <v>860848.263150685</v>
      </c>
      <c r="I33" s="16">
        <f>-(I90-H90)</f>
        <v>298280.3990929313</v>
      </c>
      <c r="J33" s="16">
        <f>-(J90-I90)</f>
        <v>296428.15088077635</v>
      </c>
      <c r="K33" s="16">
        <f>-(K90-J90)</f>
        <v>286852.91016982356</v>
      </c>
      <c r="L33" s="16">
        <f>-(L90-K90)</f>
        <v>277249.94780355319</v>
      </c>
    </row>
    <row r="34" spans="1:12">
      <c r="A34" s="17" t="s">
        <v>212</v>
      </c>
      <c r="B34" s="35">
        <f t="shared" ref="B34:L34" si="13">SUM(B31:B33)</f>
        <v>819922</v>
      </c>
      <c r="C34" s="35">
        <f t="shared" si="13"/>
        <v>1326331</v>
      </c>
      <c r="D34" s="35">
        <f t="shared" si="13"/>
        <v>1253422</v>
      </c>
      <c r="E34" s="35">
        <f t="shared" si="13"/>
        <v>1771540</v>
      </c>
      <c r="F34" s="35">
        <f t="shared" si="13"/>
        <v>2557453</v>
      </c>
      <c r="G34" s="35">
        <f t="shared" si="13"/>
        <v>2697445</v>
      </c>
      <c r="H34" s="36">
        <f t="shared" si="13"/>
        <v>3016349.763526916</v>
      </c>
      <c r="I34" s="36">
        <f t="shared" si="13"/>
        <v>2947739.4114136891</v>
      </c>
      <c r="J34" s="36">
        <f t="shared" si="13"/>
        <v>3486154.0008386755</v>
      </c>
      <c r="K34" s="36">
        <f t="shared" si="13"/>
        <v>4030521.0964577417</v>
      </c>
      <c r="L34" s="36">
        <f t="shared" si="13"/>
        <v>4555731.0969566777</v>
      </c>
    </row>
    <row r="35" spans="1:12">
      <c r="A35" s="2" t="s">
        <v>213</v>
      </c>
      <c r="B35" s="15">
        <f>'Source Data'!B74</f>
        <v>-1002025</v>
      </c>
      <c r="C35" s="15">
        <f>'Source Data'!C74</f>
        <v>-1335604</v>
      </c>
      <c r="D35" s="15">
        <f>'Source Data'!D74</f>
        <v>-1445905</v>
      </c>
      <c r="E35" s="15">
        <f>'Source Data'!E74</f>
        <v>-1172863</v>
      </c>
      <c r="F35" s="15">
        <f>'Source Data'!F74</f>
        <v>-1561914</v>
      </c>
      <c r="G35" s="15">
        <f>'Source Data'!G74</f>
        <v>-2087043</v>
      </c>
      <c r="H35" s="16">
        <f>-H6*Assumptions!B32</f>
        <v>-2435735.0538674998</v>
      </c>
      <c r="I35" s="16">
        <f>-I6*Assumptions!C32</f>
        <v>-2673493.7250939053</v>
      </c>
      <c r="J35" s="16">
        <f>-J6*Assumptions!D32</f>
        <v>-2890449.9322735746</v>
      </c>
      <c r="K35" s="16">
        <f>-K6*Assumptions!E32</f>
        <v>-3077579.6205160394</v>
      </c>
      <c r="L35" s="16">
        <f>-L6*Assumptions!F32</f>
        <v>-3235907.593835359</v>
      </c>
    </row>
    <row r="36" spans="1:12">
      <c r="A36" s="2" t="s">
        <v>92</v>
      </c>
      <c r="B36" s="15">
        <f>'Source Data'!B79-B35</f>
        <v>1889</v>
      </c>
      <c r="C36" s="15">
        <f>'Source Data'!C79-C35</f>
        <v>4876</v>
      </c>
      <c r="D36" s="15">
        <f>'Source Data'!D79-D35</f>
        <v>11342</v>
      </c>
      <c r="E36" s="15">
        <f>'Source Data'!E79-E35</f>
        <v>14607</v>
      </c>
      <c r="F36" s="15">
        <f>'Source Data'!F79-F35</f>
        <v>-34995</v>
      </c>
      <c r="G36" s="15">
        <f>'Source Data'!G79-G35</f>
        <v>11989</v>
      </c>
      <c r="H36" s="16">
        <f>Assumptions!B56</f>
        <v>0</v>
      </c>
      <c r="I36" s="16">
        <f>Assumptions!C56</f>
        <v>0</v>
      </c>
      <c r="J36" s="16">
        <f>Assumptions!D56</f>
        <v>0</v>
      </c>
      <c r="K36" s="16">
        <f>Assumptions!E56</f>
        <v>0</v>
      </c>
      <c r="L36" s="16">
        <f>Assumptions!F56</f>
        <v>0</v>
      </c>
    </row>
    <row r="37" spans="1:12">
      <c r="A37" s="17" t="s">
        <v>214</v>
      </c>
      <c r="B37" s="35">
        <f t="shared" ref="B37:L37" si="14">SUM(B35:B36)</f>
        <v>-1000136</v>
      </c>
      <c r="C37" s="35">
        <f t="shared" si="14"/>
        <v>-1330728</v>
      </c>
      <c r="D37" s="35">
        <f t="shared" si="14"/>
        <v>-1434563</v>
      </c>
      <c r="E37" s="35">
        <f t="shared" si="14"/>
        <v>-1158256</v>
      </c>
      <c r="F37" s="35">
        <f t="shared" si="14"/>
        <v>-1596909</v>
      </c>
      <c r="G37" s="35">
        <f t="shared" si="14"/>
        <v>-2075054</v>
      </c>
      <c r="H37" s="36">
        <f t="shared" si="14"/>
        <v>-2435735.0538674998</v>
      </c>
      <c r="I37" s="36">
        <f t="shared" si="14"/>
        <v>-2673493.7250939053</v>
      </c>
      <c r="J37" s="36">
        <f t="shared" si="14"/>
        <v>-2890449.9322735746</v>
      </c>
      <c r="K37" s="36">
        <f t="shared" si="14"/>
        <v>-3077579.6205160394</v>
      </c>
      <c r="L37" s="36">
        <f t="shared" si="14"/>
        <v>-3235907.593835359</v>
      </c>
    </row>
    <row r="38" spans="1:12">
      <c r="A38" s="2" t="s">
        <v>215</v>
      </c>
      <c r="B38" s="15">
        <f>SUM('Source Data'!B43,'Source Data'!B53,'Source Data'!B44,'Source Data'!B54,'Source Data'!B45,'Source Data'!B55)</f>
        <v>1473710</v>
      </c>
      <c r="C38" s="15">
        <f>SUM('Source Data'!C43,'Source Data'!C53,'Source Data'!C44,'Source Data'!C54,'Source Data'!C45,'Source Data'!C55)-SUM('Source Data'!B43,'Source Data'!B53,'Source Data'!B44,'Source Data'!B54,'Source Data'!B45,'Source Data'!B55)</f>
        <v>1457</v>
      </c>
      <c r="D38" s="15">
        <f>SUM('Source Data'!D43,'Source Data'!D53,'Source Data'!D44,'Source Data'!D54,'Source Data'!D45,'Source Data'!D55)-SUM('Source Data'!C43,'Source Data'!C53,'Source Data'!C44,'Source Data'!C54,'Source Data'!C45,'Source Data'!C55)</f>
        <v>309365</v>
      </c>
      <c r="E38" s="15">
        <f>SUM('Source Data'!E43,'Source Data'!E53,'Source Data'!E44,'Source Data'!E54,'Source Data'!E45,'Source Data'!E55)-SUM('Source Data'!D43,'Source Data'!D53,'Source Data'!D44,'Source Data'!D54,'Source Data'!D45,'Source Data'!D55)</f>
        <v>-611354</v>
      </c>
      <c r="F38" s="15">
        <f>SUM('Source Data'!F43,'Source Data'!F53,'Source Data'!F44,'Source Data'!F54,'Source Data'!F45,'Source Data'!F55)-SUM('Source Data'!E43,'Source Data'!E53,'Source Data'!E44,'Source Data'!E54,'Source Data'!E45,'Source Data'!E55)</f>
        <v>-86362</v>
      </c>
      <c r="G38" s="15">
        <f>SUM('Source Data'!G43,'Source Data'!G53,'Source Data'!G44,'Source Data'!G54,'Source Data'!G45,'Source Data'!G55)-SUM('Source Data'!F43,'Source Data'!F53,'Source Data'!F44,'Source Data'!F54,'Source Data'!F45,'Source Data'!F55)</f>
        <v>-331484</v>
      </c>
      <c r="H38" s="16">
        <f>Assumptions!B44+Assumptions!B46+Assumptions!B48</f>
        <v>-90000</v>
      </c>
      <c r="I38" s="16">
        <f>Assumptions!C44+Assumptions!C46+Assumptions!C48</f>
        <v>-90000</v>
      </c>
      <c r="J38" s="16">
        <f>Assumptions!D44+Assumptions!D46+Assumptions!D48</f>
        <v>-90000</v>
      </c>
      <c r="K38" s="16">
        <f>Assumptions!E44+Assumptions!E46+Assumptions!E48</f>
        <v>-90000</v>
      </c>
      <c r="L38" s="16">
        <f>Assumptions!F44+Assumptions!F46+Assumptions!F48</f>
        <v>-90000</v>
      </c>
    </row>
    <row r="39" spans="1:12">
      <c r="A39" s="2" t="s">
        <v>91</v>
      </c>
      <c r="B39" s="15">
        <f>0</f>
        <v>0</v>
      </c>
      <c r="C39" s="15">
        <f>0</f>
        <v>0</v>
      </c>
      <c r="D39" s="15">
        <f>0</f>
        <v>0</v>
      </c>
      <c r="E39" s="15">
        <f>0</f>
        <v>0</v>
      </c>
      <c r="F39" s="15">
        <f>0</f>
        <v>0</v>
      </c>
      <c r="G39" s="15">
        <f>0</f>
        <v>0</v>
      </c>
      <c r="H39" s="15">
        <f>Assumptions!B55</f>
        <v>0</v>
      </c>
      <c r="I39" s="15">
        <f>Assumptions!C55</f>
        <v>0</v>
      </c>
      <c r="J39" s="15">
        <f>Assumptions!D55</f>
        <v>0</v>
      </c>
      <c r="K39" s="15">
        <f>Assumptions!E55</f>
        <v>0</v>
      </c>
      <c r="L39" s="15">
        <f>Assumptions!F55</f>
        <v>0</v>
      </c>
    </row>
    <row r="40" spans="1:12">
      <c r="A40" s="2" t="s">
        <v>90</v>
      </c>
      <c r="B40" s="15">
        <f>'Source Data'!B86-B38-B39</f>
        <v>-1207798</v>
      </c>
      <c r="C40" s="15">
        <f>'Source Data'!C86-C38-C39</f>
        <v>-58863</v>
      </c>
      <c r="D40" s="15">
        <f>'Source Data'!D86-D38-D39</f>
        <v>-164121</v>
      </c>
      <c r="E40" s="15">
        <f>'Source Data'!E86-E38-E39</f>
        <v>-166259</v>
      </c>
      <c r="F40" s="15">
        <f>'Source Data'!F86-F38-F39</f>
        <v>-201549</v>
      </c>
      <c r="G40" s="15">
        <f>'Source Data'!G86-G38-G39</f>
        <v>-227115</v>
      </c>
      <c r="H40" s="16">
        <f>Assumptions!B54</f>
        <v>0</v>
      </c>
      <c r="I40" s="16">
        <f>Assumptions!C54</f>
        <v>0</v>
      </c>
      <c r="J40" s="16">
        <f>Assumptions!D54</f>
        <v>0</v>
      </c>
      <c r="K40" s="16">
        <f>Assumptions!E54</f>
        <v>0</v>
      </c>
      <c r="L40" s="16">
        <f>Assumptions!F54</f>
        <v>0</v>
      </c>
    </row>
    <row r="41" spans="1:12">
      <c r="A41" s="17" t="s">
        <v>216</v>
      </c>
      <c r="B41" s="35">
        <f t="shared" ref="B41:L41" si="15">SUM(B38:B40)</f>
        <v>265912</v>
      </c>
      <c r="C41" s="35">
        <f t="shared" si="15"/>
        <v>-57406</v>
      </c>
      <c r="D41" s="35">
        <f t="shared" si="15"/>
        <v>145244</v>
      </c>
      <c r="E41" s="35">
        <f t="shared" si="15"/>
        <v>-777613</v>
      </c>
      <c r="F41" s="35">
        <f t="shared" si="15"/>
        <v>-287911</v>
      </c>
      <c r="G41" s="35">
        <f t="shared" si="15"/>
        <v>-558599</v>
      </c>
      <c r="H41" s="36">
        <f>SUM(H38:H40)</f>
        <v>-90000</v>
      </c>
      <c r="I41" s="36">
        <f t="shared" si="15"/>
        <v>-90000</v>
      </c>
      <c r="J41" s="36">
        <f t="shared" si="15"/>
        <v>-90000</v>
      </c>
      <c r="K41" s="36">
        <f t="shared" si="15"/>
        <v>-90000</v>
      </c>
      <c r="L41" s="36">
        <f t="shared" si="15"/>
        <v>-90000</v>
      </c>
    </row>
    <row r="42" spans="1:12">
      <c r="A42" s="17" t="s">
        <v>217</v>
      </c>
      <c r="B42" s="35">
        <f t="shared" ref="B42:L42" si="16">SUM(B34,B37,B41)</f>
        <v>85698</v>
      </c>
      <c r="C42" s="35">
        <f t="shared" si="16"/>
        <v>-61803</v>
      </c>
      <c r="D42" s="35">
        <f t="shared" si="16"/>
        <v>-35897</v>
      </c>
      <c r="E42" s="35">
        <f t="shared" si="16"/>
        <v>-164329</v>
      </c>
      <c r="F42" s="35">
        <f t="shared" si="16"/>
        <v>672633</v>
      </c>
      <c r="G42" s="35">
        <f t="shared" si="16"/>
        <v>63792</v>
      </c>
      <c r="H42" s="36">
        <f t="shared" si="16"/>
        <v>490614.70965941623</v>
      </c>
      <c r="I42" s="36">
        <f t="shared" si="16"/>
        <v>184245.6863197838</v>
      </c>
      <c r="J42" s="36">
        <f t="shared" si="16"/>
        <v>505704.0685651009</v>
      </c>
      <c r="K42" s="36">
        <f t="shared" si="16"/>
        <v>862941.47594170226</v>
      </c>
      <c r="L42" s="36">
        <f t="shared" si="16"/>
        <v>1229823.5031213188</v>
      </c>
    </row>
    <row r="43" spans="1:12">
      <c r="A43" s="2" t="s">
        <v>218</v>
      </c>
      <c r="B43" s="15">
        <f>'Source Data'!B88</f>
        <v>394720</v>
      </c>
      <c r="C43" s="15">
        <f>'Source Data'!C88</f>
        <v>480418</v>
      </c>
      <c r="D43" s="15">
        <f>'Source Data'!D88</f>
        <v>418615</v>
      </c>
      <c r="E43" s="15">
        <f>'Source Data'!E88</f>
        <v>382718</v>
      </c>
      <c r="F43" s="15">
        <f>'Source Data'!F88</f>
        <v>218389</v>
      </c>
      <c r="G43" s="15">
        <f>'Source Data'!G88</f>
        <v>891022</v>
      </c>
      <c r="H43" s="16">
        <f>G44</f>
        <v>954814</v>
      </c>
      <c r="I43" s="16">
        <f>H44</f>
        <v>1445428.7096594162</v>
      </c>
      <c r="J43" s="16">
        <f>I44</f>
        <v>1629674.3959792</v>
      </c>
      <c r="K43" s="16">
        <f>J44</f>
        <v>2135378.4645443009</v>
      </c>
      <c r="L43" s="16">
        <f>K44</f>
        <v>2998319.9404860032</v>
      </c>
    </row>
    <row r="44" spans="1:12">
      <c r="A44" s="17" t="s">
        <v>219</v>
      </c>
      <c r="B44" s="35">
        <f>'Source Data'!B89</f>
        <v>480418</v>
      </c>
      <c r="C44" s="35">
        <f>'Source Data'!C89</f>
        <v>418615</v>
      </c>
      <c r="D44" s="35">
        <f>'Source Data'!D89</f>
        <v>382718</v>
      </c>
      <c r="E44" s="35">
        <f>'Source Data'!E89</f>
        <v>218389</v>
      </c>
      <c r="F44" s="35">
        <f>'Source Data'!F89</f>
        <v>891022</v>
      </c>
      <c r="G44" s="35">
        <f>'Source Data'!G89</f>
        <v>954814</v>
      </c>
      <c r="H44" s="36">
        <f>H43+H42</f>
        <v>1445428.7096594162</v>
      </c>
      <c r="I44" s="36">
        <f>I43+I42</f>
        <v>1629674.3959792</v>
      </c>
      <c r="J44" s="36">
        <f>J43+J42</f>
        <v>2135378.4645443009</v>
      </c>
      <c r="K44" s="36">
        <f>K43+K42</f>
        <v>2998319.9404860032</v>
      </c>
      <c r="L44" s="36">
        <f>L43+L42</f>
        <v>4228143.4436073219</v>
      </c>
    </row>
    <row r="45" spans="1:12" ht="18" customHeight="1">
      <c r="A45" s="63" t="s">
        <v>220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</row>
    <row r="46" spans="1:12">
      <c r="A46" s="2" t="s">
        <v>221</v>
      </c>
      <c r="B46" s="15">
        <f>'Source Data'!B22+'Source Data'!B23</f>
        <v>3934018</v>
      </c>
      <c r="C46" s="15">
        <f>'Source Data'!C22+'Source Data'!C23</f>
        <v>5051284</v>
      </c>
      <c r="D46" s="15">
        <f>'Source Data'!D22+'Source Data'!D23</f>
        <v>6175148</v>
      </c>
      <c r="E46" s="15">
        <f>'Source Data'!E22+'Source Data'!E23</f>
        <v>6968171</v>
      </c>
      <c r="F46" s="15">
        <f>'Source Data'!F22+'Source Data'!F23</f>
        <v>8372265</v>
      </c>
      <c r="G46" s="15">
        <f>'Source Data'!G22+'Source Data'!G23</f>
        <v>9991687</v>
      </c>
      <c r="H46" s="16">
        <f>G46-(H35*Assumptions!B38)-(H32*Assumptions!B40)</f>
        <v>11754695.229466001</v>
      </c>
      <c r="I46" s="16">
        <f>H46-(I35*Assumptions!C38)-(I32*Assumptions!C40)</f>
        <v>13669968.603016879</v>
      </c>
      <c r="J46" s="16">
        <f>I46-(J35*Assumptions!D38)-(J32*Assumptions!D40)</f>
        <v>15717778.89401748</v>
      </c>
      <c r="K46" s="16">
        <f>J46-(K35*Assumptions!E38)-(K32*Assumptions!E40)</f>
        <v>17872084.628378712</v>
      </c>
      <c r="L46" s="16">
        <f>K46-(L35*Assumptions!F38)-(L32*Assumptions!F40)</f>
        <v>20107802.602301322</v>
      </c>
    </row>
    <row r="47" spans="1:12">
      <c r="A47" s="2" t="s">
        <v>113</v>
      </c>
      <c r="B47" s="15">
        <f>'Source Data'!B24</f>
        <v>99050</v>
      </c>
      <c r="C47" s="15">
        <f>'Source Data'!C24</f>
        <v>96947</v>
      </c>
      <c r="D47" s="15">
        <f>'Source Data'!D24</f>
        <v>94737</v>
      </c>
      <c r="E47" s="15">
        <f>'Source Data'!E24</f>
        <v>115056</v>
      </c>
      <c r="F47" s="15">
        <f>'Source Data'!F24</f>
        <v>169964</v>
      </c>
      <c r="G47" s="15">
        <f>'Source Data'!G24</f>
        <v>176185</v>
      </c>
      <c r="H47" s="16">
        <f>G47-(H35*Assumptions!B39)-(H32*Assumptions!B41)</f>
        <v>268974.90681399999</v>
      </c>
      <c r="I47" s="16">
        <f>H47-(I35*Assumptions!C39)-(I32*Assumptions!C41)</f>
        <v>369778.76857983577</v>
      </c>
      <c r="J47" s="16">
        <f>I47-(J35*Assumptions!D39)-(J32*Assumptions!D41)</f>
        <v>477558.25757986738</v>
      </c>
      <c r="K47" s="16">
        <f>J47-(K35*Assumptions!E39)-(K32*Assumptions!E41)</f>
        <v>590942.76991466887</v>
      </c>
      <c r="L47" s="16">
        <f>K47-(L35*Assumptions!F39)-(L32*Assumptions!F41)</f>
        <v>708612.13696322741</v>
      </c>
    </row>
    <row r="48" spans="1:12">
      <c r="A48" s="2" t="s">
        <v>222</v>
      </c>
      <c r="B48" s="15">
        <f>'Source Data'!B25</f>
        <v>6</v>
      </c>
      <c r="C48" s="15">
        <f>'Source Data'!C25</f>
        <v>0</v>
      </c>
      <c r="D48" s="15">
        <f>'Source Data'!D25</f>
        <v>0</v>
      </c>
      <c r="E48" s="15">
        <f>'Source Data'!E25</f>
        <v>0</v>
      </c>
      <c r="F48" s="15">
        <f>'Source Data'!F25</f>
        <v>0</v>
      </c>
      <c r="G48" s="15">
        <f>'Source Data'!G25</f>
        <v>0</v>
      </c>
      <c r="H48" s="16">
        <f t="shared" ref="H48:L49" si="17">G48</f>
        <v>0</v>
      </c>
      <c r="I48" s="16">
        <f t="shared" si="17"/>
        <v>0</v>
      </c>
      <c r="J48" s="16">
        <f t="shared" si="17"/>
        <v>0</v>
      </c>
      <c r="K48" s="16">
        <f t="shared" si="17"/>
        <v>0</v>
      </c>
      <c r="L48" s="16">
        <f t="shared" si="17"/>
        <v>0</v>
      </c>
    </row>
    <row r="49" spans="1:12">
      <c r="A49" s="2" t="s">
        <v>115</v>
      </c>
      <c r="B49" s="15">
        <f>'Source Data'!B26</f>
        <v>20738</v>
      </c>
      <c r="C49" s="15">
        <f>'Source Data'!C26</f>
        <v>35116</v>
      </c>
      <c r="D49" s="15">
        <f>'Source Data'!D26</f>
        <v>26468</v>
      </c>
      <c r="E49" s="15">
        <f>'Source Data'!E26</f>
        <v>41323</v>
      </c>
      <c r="F49" s="15">
        <f>'Source Data'!F26</f>
        <v>74149</v>
      </c>
      <c r="G49" s="15">
        <f>'Source Data'!G26</f>
        <v>31376</v>
      </c>
      <c r="H49" s="16">
        <f t="shared" si="17"/>
        <v>31376</v>
      </c>
      <c r="I49" s="16">
        <f t="shared" si="17"/>
        <v>31376</v>
      </c>
      <c r="J49" s="16">
        <f t="shared" si="17"/>
        <v>31376</v>
      </c>
      <c r="K49" s="16">
        <f t="shared" si="17"/>
        <v>31376</v>
      </c>
      <c r="L49" s="16">
        <f t="shared" si="17"/>
        <v>31376</v>
      </c>
    </row>
    <row r="50" spans="1:12">
      <c r="A50" s="17" t="s">
        <v>116</v>
      </c>
      <c r="B50" s="35">
        <f t="shared" ref="B50:L50" si="18">SUM(B46:B49)</f>
        <v>4053812</v>
      </c>
      <c r="C50" s="35">
        <f t="shared" si="18"/>
        <v>5183347</v>
      </c>
      <c r="D50" s="35">
        <f t="shared" si="18"/>
        <v>6296353</v>
      </c>
      <c r="E50" s="35">
        <f t="shared" si="18"/>
        <v>7124550</v>
      </c>
      <c r="F50" s="35">
        <f t="shared" si="18"/>
        <v>8616378</v>
      </c>
      <c r="G50" s="35">
        <f t="shared" si="18"/>
        <v>10199248</v>
      </c>
      <c r="H50" s="36">
        <f t="shared" si="18"/>
        <v>12055046.13628</v>
      </c>
      <c r="I50" s="36">
        <f t="shared" si="18"/>
        <v>14071123.371596714</v>
      </c>
      <c r="J50" s="36">
        <f t="shared" si="18"/>
        <v>16226713.151597347</v>
      </c>
      <c r="K50" s="36">
        <f t="shared" si="18"/>
        <v>18494403.39829338</v>
      </c>
      <c r="L50" s="36">
        <f t="shared" si="18"/>
        <v>20847790.739264548</v>
      </c>
    </row>
    <row r="51" spans="1:12">
      <c r="A51" s="2" t="s">
        <v>117</v>
      </c>
      <c r="B51" s="15">
        <f>'Source Data'!B28</f>
        <v>875147</v>
      </c>
      <c r="C51" s="15">
        <f>'Source Data'!C28</f>
        <v>1373463</v>
      </c>
      <c r="D51" s="15">
        <f>'Source Data'!D28</f>
        <v>1978778</v>
      </c>
      <c r="E51" s="15">
        <f>'Source Data'!E28</f>
        <v>2638859</v>
      </c>
      <c r="F51" s="15">
        <f>'Source Data'!F28</f>
        <v>3081444</v>
      </c>
      <c r="G51" s="15">
        <f>'Source Data'!G28</f>
        <v>3548100</v>
      </c>
      <c r="H51" s="16">
        <f>H6/Assumptions!B11*Assumptions!B33</f>
        <v>5296227.5578767117</v>
      </c>
      <c r="I51" s="16">
        <f>I6/Assumptions!B11*Assumptions!C33</f>
        <v>6003803.5596090406</v>
      </c>
      <c r="J51" s="16">
        <f>J6/Assumptions!B11*Assumptions!D33</f>
        <v>6643941.1027416745</v>
      </c>
      <c r="K51" s="16">
        <f>K6/Assumptions!B11*Assumptions!E33</f>
        <v>7248324.9894393617</v>
      </c>
      <c r="L51" s="16">
        <f>L6/Assumptions!B11*Assumptions!F33</f>
        <v>7817759.3176097088</v>
      </c>
    </row>
    <row r="52" spans="1:12">
      <c r="A52" s="2" t="s">
        <v>118</v>
      </c>
      <c r="B52" s="15">
        <f>'Source Data'!B29</f>
        <v>86822</v>
      </c>
      <c r="C52" s="15">
        <f>'Source Data'!C29</f>
        <v>144012</v>
      </c>
      <c r="D52" s="15">
        <f>'Source Data'!D29</f>
        <v>274872</v>
      </c>
      <c r="E52" s="15">
        <f>'Source Data'!E29</f>
        <v>330389</v>
      </c>
      <c r="F52" s="15">
        <f>'Source Data'!F29</f>
        <v>376480</v>
      </c>
      <c r="G52" s="15">
        <f>'Source Data'!G29</f>
        <v>372038</v>
      </c>
      <c r="H52" s="16">
        <f>H6/Assumptions!B11*Assumptions!B34</f>
        <v>423698.20463013696</v>
      </c>
      <c r="I52" s="16">
        <f>I6/Assumptions!B11*Assumptions!C34</f>
        <v>480304.28476872324</v>
      </c>
      <c r="J52" s="16">
        <f>J6/Assumptions!B11*Assumptions!D34</f>
        <v>536884.12951447873</v>
      </c>
      <c r="K52" s="16">
        <f>K6/Assumptions!B11*Assumptions!E34</f>
        <v>591699.99913790706</v>
      </c>
      <c r="L52" s="16">
        <f>L6/Assumptions!B11*Assumptions!F34</f>
        <v>644763.65506059455</v>
      </c>
    </row>
    <row r="53" spans="1:12">
      <c r="A53" s="2" t="s">
        <v>119</v>
      </c>
      <c r="B53" s="15">
        <f>'Source Data'!B30</f>
        <v>2</v>
      </c>
      <c r="C53" s="15">
        <f>'Source Data'!C30</f>
        <v>55</v>
      </c>
      <c r="D53" s="15">
        <f>'Source Data'!D30</f>
        <v>0</v>
      </c>
      <c r="E53" s="15">
        <f>'Source Data'!E30</f>
        <v>103</v>
      </c>
      <c r="F53" s="15">
        <f>'Source Data'!F30</f>
        <v>220</v>
      </c>
      <c r="G53" s="15">
        <f>'Source Data'!G30</f>
        <v>18596</v>
      </c>
      <c r="H53" s="16">
        <f>G53*(1+Assumptions!B27)</f>
        <v>19339.84</v>
      </c>
      <c r="I53" s="16">
        <f>H53*(1+Assumptions!C27)</f>
        <v>20016.734399999998</v>
      </c>
      <c r="J53" s="16">
        <f>I53*(1+Assumptions!D27)</f>
        <v>20617.236431999998</v>
      </c>
      <c r="K53" s="16">
        <f>J53*(1+Assumptions!E27)</f>
        <v>21184.210433879998</v>
      </c>
      <c r="L53" s="16">
        <f>K53*(1+Assumptions!F27)</f>
        <v>21713.815694726996</v>
      </c>
    </row>
    <row r="54" spans="1:12">
      <c r="A54" s="2" t="s">
        <v>223</v>
      </c>
      <c r="B54" s="15">
        <f>'Source Data'!B31</f>
        <v>73367</v>
      </c>
      <c r="C54" s="15">
        <f>'Source Data'!C31</f>
        <v>47712</v>
      </c>
      <c r="D54" s="15">
        <f>'Source Data'!D31</f>
        <v>69096</v>
      </c>
      <c r="E54" s="15">
        <f>'Source Data'!E31</f>
        <v>64049</v>
      </c>
      <c r="F54" s="15">
        <f>'Source Data'!F31</f>
        <v>88186</v>
      </c>
      <c r="G54" s="15">
        <f>'Source Data'!G31</f>
        <v>76477</v>
      </c>
      <c r="H54" s="16">
        <f>G54*(1+Assumptions!B27)</f>
        <v>79536.08</v>
      </c>
      <c r="I54" s="16">
        <f>H54*(1+Assumptions!C27)</f>
        <v>82319.842799999999</v>
      </c>
      <c r="J54" s="16">
        <f>I54*(1+Assumptions!D27)</f>
        <v>84789.438083999994</v>
      </c>
      <c r="K54" s="16">
        <f>J54*(1+Assumptions!E27)</f>
        <v>87121.147631309999</v>
      </c>
      <c r="L54" s="16">
        <f>K54*(1+Assumptions!F27)</f>
        <v>89299.176322092739</v>
      </c>
    </row>
    <row r="55" spans="1:12">
      <c r="A55" s="2" t="s">
        <v>121</v>
      </c>
      <c r="B55" s="15">
        <f>'Source Data'!B32</f>
        <v>942</v>
      </c>
      <c r="C55" s="15">
        <f>'Source Data'!C32</f>
        <v>1327</v>
      </c>
      <c r="D55" s="15">
        <f>'Source Data'!D32</f>
        <v>1242</v>
      </c>
      <c r="E55" s="15">
        <f>'Source Data'!E32</f>
        <v>1376</v>
      </c>
      <c r="F55" s="15">
        <f>'Source Data'!F32</f>
        <v>2064</v>
      </c>
      <c r="G55" s="15">
        <f>'Source Data'!G32</f>
        <v>2007</v>
      </c>
      <c r="H55" s="16">
        <f>G55*(1+Assumptions!B27)</f>
        <v>2087.2800000000002</v>
      </c>
      <c r="I55" s="16">
        <f>H55*(1+Assumptions!C27)</f>
        <v>2160.3348000000001</v>
      </c>
      <c r="J55" s="16">
        <f>I55*(1+Assumptions!D27)</f>
        <v>2225.1448439999999</v>
      </c>
      <c r="K55" s="16">
        <f>J55*(1+Assumptions!E27)</f>
        <v>2286.33632721</v>
      </c>
      <c r="L55" s="16">
        <f>K55*(1+Assumptions!F27)</f>
        <v>2343.4947353902498</v>
      </c>
    </row>
    <row r="56" spans="1:12">
      <c r="A56" s="2" t="s">
        <v>122</v>
      </c>
      <c r="B56" s="15">
        <f t="shared" ref="B56:L56" si="19">B44</f>
        <v>480418</v>
      </c>
      <c r="C56" s="15">
        <f t="shared" si="19"/>
        <v>418615</v>
      </c>
      <c r="D56" s="15">
        <f t="shared" si="19"/>
        <v>382718</v>
      </c>
      <c r="E56" s="15">
        <f t="shared" si="19"/>
        <v>218389</v>
      </c>
      <c r="F56" s="15">
        <f t="shared" si="19"/>
        <v>891022</v>
      </c>
      <c r="G56" s="15">
        <f t="shared" si="19"/>
        <v>954814</v>
      </c>
      <c r="H56" s="16">
        <f t="shared" si="19"/>
        <v>1445428.7096594162</v>
      </c>
      <c r="I56" s="16">
        <f t="shared" si="19"/>
        <v>1629674.3959792</v>
      </c>
      <c r="J56" s="16">
        <f t="shared" si="19"/>
        <v>2135378.4645443009</v>
      </c>
      <c r="K56" s="16">
        <f t="shared" si="19"/>
        <v>2998319.9404860032</v>
      </c>
      <c r="L56" s="16">
        <f t="shared" si="19"/>
        <v>4228143.4436073219</v>
      </c>
    </row>
    <row r="57" spans="1:12">
      <c r="A57" s="17" t="s">
        <v>123</v>
      </c>
      <c r="B57" s="35">
        <f t="shared" ref="B57:L57" si="20">SUM(B51:B56)</f>
        <v>1516698</v>
      </c>
      <c r="C57" s="35">
        <f t="shared" si="20"/>
        <v>1985184</v>
      </c>
      <c r="D57" s="35">
        <f t="shared" si="20"/>
        <v>2706706</v>
      </c>
      <c r="E57" s="35">
        <f t="shared" si="20"/>
        <v>3253165</v>
      </c>
      <c r="F57" s="35">
        <f t="shared" si="20"/>
        <v>4439416</v>
      </c>
      <c r="G57" s="35">
        <f t="shared" si="20"/>
        <v>4972032</v>
      </c>
      <c r="H57" s="36">
        <f t="shared" si="20"/>
        <v>7266317.6721662646</v>
      </c>
      <c r="I57" s="36">
        <f t="shared" si="20"/>
        <v>8218279.1523569636</v>
      </c>
      <c r="J57" s="36">
        <f t="shared" si="20"/>
        <v>9423835.5161604546</v>
      </c>
      <c r="K57" s="36">
        <f t="shared" si="20"/>
        <v>10948936.623455672</v>
      </c>
      <c r="L57" s="36">
        <f t="shared" si="20"/>
        <v>12804022.903029837</v>
      </c>
    </row>
    <row r="58" spans="1:12">
      <c r="A58" s="17" t="s">
        <v>224</v>
      </c>
      <c r="B58" s="35">
        <f t="shared" ref="B58:L58" si="21">SUM(B50,B57)</f>
        <v>5570510</v>
      </c>
      <c r="C58" s="35">
        <f t="shared" si="21"/>
        <v>7168531</v>
      </c>
      <c r="D58" s="35">
        <f t="shared" si="21"/>
        <v>9003059</v>
      </c>
      <c r="E58" s="35">
        <f t="shared" si="21"/>
        <v>10377715</v>
      </c>
      <c r="F58" s="35">
        <f t="shared" si="21"/>
        <v>13055794</v>
      </c>
      <c r="G58" s="35">
        <f t="shared" si="21"/>
        <v>15171280</v>
      </c>
      <c r="H58" s="36">
        <f t="shared" si="21"/>
        <v>19321363.808446266</v>
      </c>
      <c r="I58" s="36">
        <f t="shared" si="21"/>
        <v>22289402.523953676</v>
      </c>
      <c r="J58" s="36">
        <f t="shared" si="21"/>
        <v>25650548.667757802</v>
      </c>
      <c r="K58" s="36">
        <f t="shared" si="21"/>
        <v>29443340.021749049</v>
      </c>
      <c r="L58" s="36">
        <f t="shared" si="21"/>
        <v>33651813.642294385</v>
      </c>
    </row>
    <row r="59" spans="1:12" ht="18" customHeight="1">
      <c r="A59" s="63" t="s">
        <v>225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</row>
    <row r="60" spans="1:12">
      <c r="A60" s="2" t="s">
        <v>126</v>
      </c>
      <c r="B60" s="15">
        <f>'Source Data'!B37</f>
        <v>9804</v>
      </c>
      <c r="C60" s="15">
        <f>'Source Data'!C37</f>
        <v>9804</v>
      </c>
      <c r="D60" s="15">
        <f>'Source Data'!D37</f>
        <v>9804</v>
      </c>
      <c r="E60" s="15">
        <f>'Source Data'!E37</f>
        <v>9804</v>
      </c>
      <c r="F60" s="15">
        <f>'Source Data'!F37</f>
        <v>9804</v>
      </c>
      <c r="G60" s="15">
        <f>'Source Data'!G37</f>
        <v>9804</v>
      </c>
      <c r="H60" s="16">
        <f t="shared" ref="H60:L61" si="22">G60</f>
        <v>9804</v>
      </c>
      <c r="I60" s="16">
        <f t="shared" si="22"/>
        <v>9804</v>
      </c>
      <c r="J60" s="16">
        <f t="shared" si="22"/>
        <v>9804</v>
      </c>
      <c r="K60" s="16">
        <f t="shared" si="22"/>
        <v>9804</v>
      </c>
      <c r="L60" s="16">
        <f t="shared" si="22"/>
        <v>9804</v>
      </c>
    </row>
    <row r="61" spans="1:12">
      <c r="A61" s="2" t="s">
        <v>127</v>
      </c>
      <c r="B61" s="15">
        <f>'Source Data'!B38</f>
        <v>2063322</v>
      </c>
      <c r="C61" s="15">
        <f>'Source Data'!C38</f>
        <v>2707720</v>
      </c>
      <c r="D61" s="15">
        <f>'Source Data'!D38</f>
        <v>3512022</v>
      </c>
      <c r="E61" s="15">
        <f>'Source Data'!E38</f>
        <v>4652148</v>
      </c>
      <c r="F61" s="15">
        <f>'Source Data'!F38</f>
        <v>6058912</v>
      </c>
      <c r="G61" s="15">
        <f>'Source Data'!G38</f>
        <v>7569927</v>
      </c>
      <c r="H61" s="16">
        <f t="shared" si="22"/>
        <v>7569927</v>
      </c>
      <c r="I61" s="16">
        <f t="shared" si="22"/>
        <v>7569927</v>
      </c>
      <c r="J61" s="16">
        <f t="shared" si="22"/>
        <v>7569927</v>
      </c>
      <c r="K61" s="16">
        <f t="shared" si="22"/>
        <v>7569927</v>
      </c>
      <c r="L61" s="16">
        <f t="shared" si="22"/>
        <v>7569927</v>
      </c>
    </row>
    <row r="62" spans="1:12">
      <c r="A62" s="2" t="s">
        <v>128</v>
      </c>
      <c r="B62" s="15">
        <f>'Source Data'!B39</f>
        <v>185937</v>
      </c>
      <c r="C62" s="15">
        <f>'Source Data'!C39</f>
        <v>345166</v>
      </c>
      <c r="D62" s="15">
        <f>'Source Data'!D39</f>
        <v>674457</v>
      </c>
      <c r="E62" s="15">
        <f>'Source Data'!E39</f>
        <v>935859</v>
      </c>
      <c r="F62" s="15">
        <f>'Source Data'!F39</f>
        <v>1031871</v>
      </c>
      <c r="G62" s="15">
        <f>'Source Data'!G39</f>
        <v>1077742</v>
      </c>
      <c r="H62" s="16">
        <f>G62+H28+H39</f>
        <v>2653306.582788731</v>
      </c>
      <c r="I62" s="16">
        <f>H62+I28+I39</f>
        <v>4645349.1053322991</v>
      </c>
      <c r="J62" s="16">
        <f>I62+J28+J39</f>
        <v>7100214.8030172559</v>
      </c>
      <c r="K62" s="16">
        <f>J62+K28+K39</f>
        <v>10033993.615485163</v>
      </c>
      <c r="L62" s="16">
        <f>K62+L28+L39</f>
        <v>13429954.5117741</v>
      </c>
    </row>
    <row r="63" spans="1:12">
      <c r="A63" s="2" t="s">
        <v>129</v>
      </c>
      <c r="B63" s="15">
        <f>'Source Data'!B40</f>
        <v>7500</v>
      </c>
      <c r="C63" s="15">
        <f>'Source Data'!C40</f>
        <v>7500</v>
      </c>
      <c r="D63" s="15">
        <f>'Source Data'!D40</f>
        <v>7500</v>
      </c>
      <c r="E63" s="15">
        <f>'Source Data'!E40</f>
        <v>7500</v>
      </c>
      <c r="F63" s="15">
        <f>'Source Data'!F40</f>
        <v>-15436</v>
      </c>
      <c r="G63" s="15">
        <f>'Source Data'!G40</f>
        <v>-4080</v>
      </c>
      <c r="H63" s="16">
        <f t="shared" ref="H63:L64" si="23">G63</f>
        <v>-4080</v>
      </c>
      <c r="I63" s="16">
        <f t="shared" si="23"/>
        <v>-4080</v>
      </c>
      <c r="J63" s="16">
        <f t="shared" si="23"/>
        <v>-4080</v>
      </c>
      <c r="K63" s="16">
        <f t="shared" si="23"/>
        <v>-4080</v>
      </c>
      <c r="L63" s="16">
        <f t="shared" si="23"/>
        <v>-4080</v>
      </c>
    </row>
    <row r="64" spans="1:12">
      <c r="A64" s="2" t="s">
        <v>130</v>
      </c>
      <c r="B64" s="15">
        <f>'Source Data'!B41</f>
        <v>0</v>
      </c>
      <c r="C64" s="15">
        <f>'Source Data'!C41</f>
        <v>0</v>
      </c>
      <c r="D64" s="15">
        <f>'Source Data'!D41</f>
        <v>0</v>
      </c>
      <c r="E64" s="15">
        <f>'Source Data'!E41</f>
        <v>0</v>
      </c>
      <c r="F64" s="15">
        <f>'Source Data'!F41</f>
        <v>17283</v>
      </c>
      <c r="G64" s="15">
        <f>'Source Data'!G41</f>
        <v>17720</v>
      </c>
      <c r="H64" s="16">
        <f t="shared" si="23"/>
        <v>17720</v>
      </c>
      <c r="I64" s="16">
        <f t="shared" si="23"/>
        <v>17720</v>
      </c>
      <c r="J64" s="16">
        <f t="shared" si="23"/>
        <v>17720</v>
      </c>
      <c r="K64" s="16">
        <f t="shared" si="23"/>
        <v>17720</v>
      </c>
      <c r="L64" s="16">
        <f t="shared" si="23"/>
        <v>17720</v>
      </c>
    </row>
    <row r="65" spans="1:12">
      <c r="A65" s="17" t="s">
        <v>131</v>
      </c>
      <c r="B65" s="35">
        <f t="shared" ref="B65:L65" si="24">SUM(B60:B64)</f>
        <v>2266563</v>
      </c>
      <c r="C65" s="35">
        <f t="shared" si="24"/>
        <v>3070190</v>
      </c>
      <c r="D65" s="35">
        <f t="shared" si="24"/>
        <v>4203783</v>
      </c>
      <c r="E65" s="35">
        <f t="shared" si="24"/>
        <v>5605311</v>
      </c>
      <c r="F65" s="35">
        <f t="shared" si="24"/>
        <v>7102434</v>
      </c>
      <c r="G65" s="35">
        <f t="shared" si="24"/>
        <v>8671113</v>
      </c>
      <c r="H65" s="36">
        <f t="shared" si="24"/>
        <v>10246677.582788732</v>
      </c>
      <c r="I65" s="36">
        <f t="shared" si="24"/>
        <v>12238720.1053323</v>
      </c>
      <c r="J65" s="36">
        <f t="shared" si="24"/>
        <v>14693585.803017255</v>
      </c>
      <c r="K65" s="36">
        <f t="shared" si="24"/>
        <v>17627364.615485162</v>
      </c>
      <c r="L65" s="36">
        <f t="shared" si="24"/>
        <v>21023325.5117741</v>
      </c>
    </row>
    <row r="66" spans="1:12" ht="18" customHeight="1">
      <c r="A66" s="63" t="s">
        <v>226</v>
      </c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</row>
    <row r="67" spans="1:12">
      <c r="A67" s="2" t="s">
        <v>132</v>
      </c>
      <c r="B67" s="15">
        <f>'Debt &amp; WACC'!B6</f>
        <v>725851</v>
      </c>
      <c r="C67" s="15">
        <f>'Debt &amp; WACC'!C6</f>
        <v>583014</v>
      </c>
      <c r="D67" s="15">
        <f>'Debt &amp; WACC'!D6</f>
        <v>690862</v>
      </c>
      <c r="E67" s="15">
        <f>'Debt &amp; WACC'!E6</f>
        <v>469629</v>
      </c>
      <c r="F67" s="15">
        <f>'Debt &amp; WACC'!F6</f>
        <v>272219</v>
      </c>
      <c r="G67" s="15">
        <f>'Debt &amp; WACC'!G6</f>
        <v>312861</v>
      </c>
      <c r="H67" s="16">
        <f>'Debt &amp; WACC'!H6</f>
        <v>266517.28999999998</v>
      </c>
      <c r="I67" s="16">
        <f>'Debt &amp; WACC'!I6</f>
        <v>216267.28999999998</v>
      </c>
      <c r="J67" s="16">
        <f>'Debt &amp; WACC'!J6</f>
        <v>166017.28999999998</v>
      </c>
      <c r="K67" s="16">
        <f>'Debt &amp; WACC'!K6</f>
        <v>115767.29</v>
      </c>
      <c r="L67" s="16">
        <f>'Debt &amp; WACC'!L6</f>
        <v>65517.289999999994</v>
      </c>
    </row>
    <row r="68" spans="1:12">
      <c r="A68" s="2" t="s">
        <v>133</v>
      </c>
      <c r="B68" s="15">
        <f>'Debt &amp; WACC'!B8</f>
        <v>67876</v>
      </c>
      <c r="C68" s="15">
        <f>'Debt &amp; WACC'!C8</f>
        <v>46621</v>
      </c>
      <c r="D68" s="15">
        <f>'Debt &amp; WACC'!D8</f>
        <v>34673</v>
      </c>
      <c r="E68" s="15">
        <f>'Debt &amp; WACC'!E8</f>
        <v>35612</v>
      </c>
      <c r="F68" s="15">
        <f>'Debt &amp; WACC'!F8</f>
        <v>60818</v>
      </c>
      <c r="G68" s="15">
        <f>'Debt &amp; WACC'!G8</f>
        <v>87851</v>
      </c>
      <c r="H68" s="16">
        <f>'Debt &amp; WACC'!H8</f>
        <v>99273.77</v>
      </c>
      <c r="I68" s="16">
        <f>'Debt &amp; WACC'!I8</f>
        <v>111123.77</v>
      </c>
      <c r="J68" s="16">
        <f>'Debt &amp; WACC'!J8</f>
        <v>122973.77</v>
      </c>
      <c r="K68" s="16">
        <f>'Debt &amp; WACC'!K8</f>
        <v>134823.77000000002</v>
      </c>
      <c r="L68" s="16">
        <f>'Debt &amp; WACC'!L8</f>
        <v>146673.77000000002</v>
      </c>
    </row>
    <row r="69" spans="1:12">
      <c r="A69" s="2" t="s">
        <v>227</v>
      </c>
      <c r="B69" s="15">
        <f>'Debt &amp; WACC'!B10</f>
        <v>419936</v>
      </c>
      <c r="C69" s="15">
        <f>'Debt &amp; WACC'!C10</f>
        <v>450000</v>
      </c>
      <c r="D69" s="15">
        <f>'Debt &amp; WACC'!D10</f>
        <v>370000</v>
      </c>
      <c r="E69" s="15">
        <f>'Debt &amp; WACC'!E10</f>
        <v>370000</v>
      </c>
      <c r="F69" s="15">
        <f>'Debt &amp; WACC'!F10</f>
        <v>170000</v>
      </c>
      <c r="G69" s="15">
        <f>'Debt &amp; WACC'!G10</f>
        <v>0</v>
      </c>
      <c r="H69" s="16">
        <f>'Debt &amp; WACC'!H10</f>
        <v>106411.5</v>
      </c>
      <c r="I69" s="16">
        <f>'Debt &amp; WACC'!I10</f>
        <v>83911.5</v>
      </c>
      <c r="J69" s="16">
        <f>'Debt &amp; WACC'!J10</f>
        <v>61411.5</v>
      </c>
      <c r="K69" s="16">
        <f>'Debt &amp; WACC'!K10</f>
        <v>38911.5</v>
      </c>
      <c r="L69" s="16">
        <f>'Debt &amp; WACC'!L10</f>
        <v>16411.5</v>
      </c>
    </row>
    <row r="70" spans="1:12">
      <c r="A70" s="2" t="s">
        <v>136</v>
      </c>
      <c r="B70" s="15">
        <f>'Source Data'!B46+'Source Data'!B47</f>
        <v>180</v>
      </c>
      <c r="C70" s="15">
        <f>'Source Data'!C46+'Source Data'!C47</f>
        <v>150</v>
      </c>
      <c r="D70" s="15">
        <f>'Source Data'!D46+'Source Data'!D47</f>
        <v>120</v>
      </c>
      <c r="E70" s="15">
        <f>'Source Data'!E46+'Source Data'!E47</f>
        <v>90</v>
      </c>
      <c r="F70" s="15">
        <f>'Source Data'!F46+'Source Data'!F47</f>
        <v>22996</v>
      </c>
      <c r="G70" s="15">
        <f>'Source Data'!G46+'Source Data'!G47</f>
        <v>11610</v>
      </c>
      <c r="H70" s="16">
        <f>G70</f>
        <v>11610</v>
      </c>
      <c r="I70" s="16">
        <f>H70</f>
        <v>11610</v>
      </c>
      <c r="J70" s="16">
        <f>I70</f>
        <v>11610</v>
      </c>
      <c r="K70" s="16">
        <f>J70</f>
        <v>11610</v>
      </c>
      <c r="L70" s="16">
        <f>K70</f>
        <v>11610</v>
      </c>
    </row>
    <row r="71" spans="1:12">
      <c r="A71" s="2" t="s">
        <v>228</v>
      </c>
      <c r="B71" s="15">
        <f>'Source Data'!B48</f>
        <v>2844</v>
      </c>
      <c r="C71" s="15">
        <f>'Source Data'!C48</f>
        <v>4827</v>
      </c>
      <c r="D71" s="15">
        <f>'Source Data'!D48</f>
        <v>5794</v>
      </c>
      <c r="E71" s="15">
        <f>'Source Data'!E48</f>
        <v>10900</v>
      </c>
      <c r="F71" s="15">
        <f>'Source Data'!F48</f>
        <v>14142</v>
      </c>
      <c r="G71" s="15">
        <f>'Source Data'!G48</f>
        <v>18041</v>
      </c>
      <c r="H71" s="16">
        <f>G71*(1+Assumptions!B27)</f>
        <v>18762.64</v>
      </c>
      <c r="I71" s="16">
        <f>H71*(1+Assumptions!C27)</f>
        <v>19419.332399999999</v>
      </c>
      <c r="J71" s="16">
        <f>I71*(1+Assumptions!D27)</f>
        <v>20001.912371999999</v>
      </c>
      <c r="K71" s="16">
        <f>J71*(1+Assumptions!E27)</f>
        <v>20551.964962230002</v>
      </c>
      <c r="L71" s="16">
        <f>K71*(1+Assumptions!F27)</f>
        <v>21065.764086285752</v>
      </c>
    </row>
    <row r="72" spans="1:12">
      <c r="A72" s="2" t="s">
        <v>229</v>
      </c>
      <c r="B72" s="15">
        <f>'Source Data'!B49</f>
        <v>6555</v>
      </c>
      <c r="C72" s="15">
        <f>'Source Data'!C49</f>
        <v>8187</v>
      </c>
      <c r="D72" s="15">
        <f>'Source Data'!D49</f>
        <v>7700</v>
      </c>
      <c r="E72" s="15">
        <f>'Source Data'!E49</f>
        <v>6880</v>
      </c>
      <c r="F72" s="15">
        <f>'Source Data'!F49</f>
        <v>30336</v>
      </c>
      <c r="G72" s="15">
        <f>'Source Data'!G49</f>
        <v>4609</v>
      </c>
      <c r="H72" s="16">
        <f t="shared" ref="H72:L73" si="25">G72</f>
        <v>4609</v>
      </c>
      <c r="I72" s="16">
        <f t="shared" si="25"/>
        <v>4609</v>
      </c>
      <c r="J72" s="16">
        <f t="shared" si="25"/>
        <v>4609</v>
      </c>
      <c r="K72" s="16">
        <f t="shared" si="25"/>
        <v>4609</v>
      </c>
      <c r="L72" s="16">
        <f t="shared" si="25"/>
        <v>4609</v>
      </c>
    </row>
    <row r="73" spans="1:12">
      <c r="A73" s="2" t="s">
        <v>230</v>
      </c>
      <c r="B73" s="15">
        <f>'Source Data'!B50</f>
        <v>14</v>
      </c>
      <c r="C73" s="15">
        <f>'Source Data'!C50</f>
        <v>5</v>
      </c>
      <c r="D73" s="15">
        <f>'Source Data'!D50</f>
        <v>0</v>
      </c>
      <c r="E73" s="15">
        <f>'Source Data'!E50</f>
        <v>0</v>
      </c>
      <c r="F73" s="15">
        <f>'Source Data'!F50</f>
        <v>0</v>
      </c>
      <c r="G73" s="15">
        <f>'Source Data'!G50</f>
        <v>0</v>
      </c>
      <c r="H73" s="16">
        <f t="shared" si="25"/>
        <v>0</v>
      </c>
      <c r="I73" s="16">
        <f t="shared" si="25"/>
        <v>0</v>
      </c>
      <c r="J73" s="16">
        <f t="shared" si="25"/>
        <v>0</v>
      </c>
      <c r="K73" s="16">
        <f t="shared" si="25"/>
        <v>0</v>
      </c>
      <c r="L73" s="16">
        <f t="shared" si="25"/>
        <v>0</v>
      </c>
    </row>
    <row r="74" spans="1:12">
      <c r="A74" s="17" t="s">
        <v>140</v>
      </c>
      <c r="B74" s="35">
        <f t="shared" ref="B74:L74" si="26">SUM(B67:B73)</f>
        <v>1223256</v>
      </c>
      <c r="C74" s="35">
        <f t="shared" si="26"/>
        <v>1092804</v>
      </c>
      <c r="D74" s="35">
        <f t="shared" si="26"/>
        <v>1109149</v>
      </c>
      <c r="E74" s="35">
        <f t="shared" si="26"/>
        <v>893111</v>
      </c>
      <c r="F74" s="35">
        <f t="shared" si="26"/>
        <v>570511</v>
      </c>
      <c r="G74" s="35">
        <f t="shared" si="26"/>
        <v>434972</v>
      </c>
      <c r="H74" s="36">
        <f t="shared" si="26"/>
        <v>507184.2</v>
      </c>
      <c r="I74" s="36">
        <f t="shared" si="26"/>
        <v>446940.89240000001</v>
      </c>
      <c r="J74" s="36">
        <f t="shared" si="26"/>
        <v>386623.47237199999</v>
      </c>
      <c r="K74" s="36">
        <f t="shared" si="26"/>
        <v>326273.52496223</v>
      </c>
      <c r="L74" s="36">
        <f t="shared" si="26"/>
        <v>265887.32408628578</v>
      </c>
    </row>
    <row r="75" spans="1:12">
      <c r="A75" s="2" t="s">
        <v>141</v>
      </c>
      <c r="B75" s="15">
        <f>'Source Data'!B52</f>
        <v>1695163</v>
      </c>
      <c r="C75" s="15">
        <f>'Source Data'!C52</f>
        <v>2454051</v>
      </c>
      <c r="D75" s="15">
        <f>'Source Data'!D52</f>
        <v>2651049</v>
      </c>
      <c r="E75" s="15">
        <f>'Source Data'!E52</f>
        <v>3095968</v>
      </c>
      <c r="F75" s="15">
        <f>'Source Data'!F52</f>
        <v>4362006</v>
      </c>
      <c r="G75" s="15">
        <f>'Source Data'!G52</f>
        <v>5194539</v>
      </c>
      <c r="H75" s="16">
        <f>H6/Assumptions!B11*Assumptions!B35</f>
        <v>7838416.7856575334</v>
      </c>
      <c r="I75" s="16">
        <f>I6/Assumptions!B11*Assumptions!C35</f>
        <v>8885629.2682213802</v>
      </c>
      <c r="J75" s="16">
        <f>J6/Assumptions!B11*Assumptions!D35</f>
        <v>9865245.8798285462</v>
      </c>
      <c r="K75" s="16">
        <f>K6/Assumptions!B11*Assumptions!E35</f>
        <v>10798524.984266805</v>
      </c>
      <c r="L75" s="16">
        <f>L6/Assumptions!B11*Assumptions!F35</f>
        <v>11686341.247973276</v>
      </c>
    </row>
    <row r="76" spans="1:12">
      <c r="A76" s="2" t="s">
        <v>142</v>
      </c>
      <c r="B76" s="15">
        <f>'Debt &amp; WACC'!B7</f>
        <v>216868</v>
      </c>
      <c r="C76" s="15">
        <f>'Debt &amp; WACC'!C7</f>
        <v>196169</v>
      </c>
      <c r="D76" s="15">
        <f>'Debt &amp; WACC'!D7</f>
        <v>410157</v>
      </c>
      <c r="E76" s="15">
        <f>'Debt &amp; WACC'!E7</f>
        <v>278588</v>
      </c>
      <c r="F76" s="15">
        <f>'Debt &amp; WACC'!F7</f>
        <v>361034</v>
      </c>
      <c r="G76" s="15">
        <f>'Debt &amp; WACC'!G7</f>
        <v>159926</v>
      </c>
      <c r="H76" s="16">
        <f>'Debt &amp; WACC'!H7</f>
        <v>131269.71</v>
      </c>
      <c r="I76" s="16">
        <f>'Debt &amp; WACC'!I7</f>
        <v>106519.71</v>
      </c>
      <c r="J76" s="16">
        <f>'Debt &amp; WACC'!J7</f>
        <v>81769.710000000006</v>
      </c>
      <c r="K76" s="16">
        <f>'Debt &amp; WACC'!K7</f>
        <v>57019.71</v>
      </c>
      <c r="L76" s="16">
        <f>'Debt &amp; WACC'!L7</f>
        <v>32269.710000000003</v>
      </c>
    </row>
    <row r="77" spans="1:12">
      <c r="A77" s="2" t="s">
        <v>143</v>
      </c>
      <c r="B77" s="15">
        <f>'Debt &amp; WACC'!B9</f>
        <v>42249</v>
      </c>
      <c r="C77" s="15">
        <f>'Debt &amp; WACC'!C9</f>
        <v>27721</v>
      </c>
      <c r="D77" s="15">
        <f>'Debt &amp; WACC'!D9</f>
        <v>17893</v>
      </c>
      <c r="E77" s="15">
        <f>'Debt &amp; WACC'!E9</f>
        <v>14565</v>
      </c>
      <c r="F77" s="15">
        <f>'Debt &amp; WACC'!F9</f>
        <v>17900</v>
      </c>
      <c r="G77" s="15">
        <f>'Debt &amp; WACC'!G9</f>
        <v>22812</v>
      </c>
      <c r="H77" s="16">
        <f>'Debt &amp; WACC'!H9</f>
        <v>26389.23</v>
      </c>
      <c r="I77" s="16">
        <f>'Debt &amp; WACC'!I9</f>
        <v>29539.23</v>
      </c>
      <c r="J77" s="16">
        <f>'Debt &amp; WACC'!J9</f>
        <v>32689.23</v>
      </c>
      <c r="K77" s="16">
        <f>'Debt &amp; WACC'!K9</f>
        <v>35839.229999999996</v>
      </c>
      <c r="L77" s="16">
        <f>'Debt &amp; WACC'!L9</f>
        <v>38989.229999999996</v>
      </c>
    </row>
    <row r="78" spans="1:12">
      <c r="A78" s="2" t="s">
        <v>231</v>
      </c>
      <c r="B78" s="15">
        <f>'Debt &amp; WACC'!B11</f>
        <v>930</v>
      </c>
      <c r="C78" s="15">
        <f>'Debt &amp; WACC'!C11</f>
        <v>171642</v>
      </c>
      <c r="D78" s="15">
        <f>'Debt &amp; WACC'!D11</f>
        <v>260947</v>
      </c>
      <c r="E78" s="15">
        <f>'Debt &amp; WACC'!E11</f>
        <v>4784</v>
      </c>
      <c r="F78" s="15">
        <f>'Debt &amp; WACC'!F11</f>
        <v>204845</v>
      </c>
      <c r="G78" s="15">
        <f>'Debt &amp; WACC'!G11</f>
        <v>171882</v>
      </c>
      <c r="H78" s="16">
        <f>'Debt &amp; WACC'!H11</f>
        <v>35470.5</v>
      </c>
      <c r="I78" s="16">
        <f>'Debt &amp; WACC'!I11</f>
        <v>27970.5</v>
      </c>
      <c r="J78" s="16">
        <f>'Debt &amp; WACC'!J11</f>
        <v>20470.5</v>
      </c>
      <c r="K78" s="16">
        <f>'Debt &amp; WACC'!K11</f>
        <v>12970.5</v>
      </c>
      <c r="L78" s="16">
        <f>'Debt &amp; WACC'!L11</f>
        <v>5470.5</v>
      </c>
    </row>
    <row r="79" spans="1:12">
      <c r="A79" s="2" t="s">
        <v>232</v>
      </c>
      <c r="B79" s="15">
        <f>'Source Data'!B56</f>
        <v>1332</v>
      </c>
      <c r="C79" s="15">
        <f>'Source Data'!C56</f>
        <v>1944</v>
      </c>
      <c r="D79" s="15">
        <f>'Source Data'!D56</f>
        <v>229660</v>
      </c>
      <c r="E79" s="15">
        <f>'Source Data'!E56</f>
        <v>307273</v>
      </c>
      <c r="F79" s="15">
        <f>'Source Data'!F56</f>
        <v>382575</v>
      </c>
      <c r="G79" s="15">
        <f>'Source Data'!G56</f>
        <v>464694</v>
      </c>
      <c r="H79" s="16">
        <f>G79*(1+Assumptions!B27)</f>
        <v>483281.76</v>
      </c>
      <c r="I79" s="16">
        <f>H79*(1+Assumptions!C27)</f>
        <v>500196.62159999995</v>
      </c>
      <c r="J79" s="16">
        <f>I79*(1+Assumptions!D27)</f>
        <v>515202.52024799999</v>
      </c>
      <c r="K79" s="16">
        <f>J79*(1+Assumptions!E27)</f>
        <v>529370.58955481998</v>
      </c>
      <c r="L79" s="16">
        <f>K79*(1+Assumptions!F27)</f>
        <v>542604.85429369041</v>
      </c>
    </row>
    <row r="80" spans="1:12">
      <c r="A80" s="2" t="s">
        <v>146</v>
      </c>
      <c r="B80" s="15">
        <f>'Source Data'!B57</f>
        <v>80509</v>
      </c>
      <c r="C80" s="15">
        <f>'Source Data'!C57</f>
        <v>93017</v>
      </c>
      <c r="D80" s="15">
        <f>'Source Data'!D57</f>
        <v>120034</v>
      </c>
      <c r="E80" s="15">
        <f>'Source Data'!E57</f>
        <v>176736</v>
      </c>
      <c r="F80" s="15">
        <f>'Source Data'!F57</f>
        <v>50612</v>
      </c>
      <c r="G80" s="15">
        <f>'Source Data'!G57</f>
        <v>47605</v>
      </c>
      <c r="H80" s="16">
        <f>G80*(1+Assumptions!B27)</f>
        <v>49509.200000000004</v>
      </c>
      <c r="I80" s="16">
        <f>H80*(1+Assumptions!C27)</f>
        <v>51242.021999999997</v>
      </c>
      <c r="J80" s="16">
        <f>I80*(1+Assumptions!D27)</f>
        <v>52779.282659999997</v>
      </c>
      <c r="K80" s="16">
        <f>J80*(1+Assumptions!E27)</f>
        <v>54230.712933150004</v>
      </c>
      <c r="L80" s="16">
        <f>K80*(1+Assumptions!F27)</f>
        <v>55586.480756478748</v>
      </c>
    </row>
    <row r="81" spans="1:12">
      <c r="A81" s="2" t="s">
        <v>147</v>
      </c>
      <c r="B81" s="15">
        <f>'Source Data'!B58</f>
        <v>43640</v>
      </c>
      <c r="C81" s="15">
        <f>'Source Data'!C58</f>
        <v>60993</v>
      </c>
      <c r="D81" s="15">
        <f>'Source Data'!D58</f>
        <v>387</v>
      </c>
      <c r="E81" s="15">
        <f>'Source Data'!E58</f>
        <v>1379</v>
      </c>
      <c r="F81" s="15">
        <f>'Source Data'!F58</f>
        <v>3877</v>
      </c>
      <c r="G81" s="15">
        <f>'Source Data'!G58</f>
        <v>3737</v>
      </c>
      <c r="H81" s="16">
        <f>G81*(1+Assumptions!B27)</f>
        <v>3886.48</v>
      </c>
      <c r="I81" s="16">
        <f>H81*(1+Assumptions!C27)</f>
        <v>4022.5067999999997</v>
      </c>
      <c r="J81" s="16">
        <f>I81*(1+Assumptions!D27)</f>
        <v>4143.1820039999993</v>
      </c>
      <c r="K81" s="16">
        <f>J81*(1+Assumptions!E27)</f>
        <v>4257.1195091099999</v>
      </c>
      <c r="L81" s="16">
        <f>K81*(1+Assumptions!F27)</f>
        <v>4363.5474968377493</v>
      </c>
    </row>
    <row r="82" spans="1:12">
      <c r="A82" s="2" t="s">
        <v>233</v>
      </c>
      <c r="B82" s="15">
        <f>'Source Data'!B59-SUM(B75:B81)</f>
        <v>0</v>
      </c>
      <c r="C82" s="15">
        <f>'Source Data'!C59-SUM(C75:C81)</f>
        <v>0</v>
      </c>
      <c r="D82" s="15">
        <f>'Source Data'!D59-SUM(D75:D81)</f>
        <v>0</v>
      </c>
      <c r="E82" s="15">
        <f>'Source Data'!E59-SUM(E75:E81)</f>
        <v>0</v>
      </c>
      <c r="F82" s="15">
        <f>'Source Data'!F59-SUM(F75:F81)</f>
        <v>0</v>
      </c>
      <c r="G82" s="15">
        <f>'Source Data'!G59-SUM(G75:G81)</f>
        <v>0</v>
      </c>
      <c r="H82" s="16">
        <f>H58-H65-H74-SUM(H75:H81)</f>
        <v>-721.6399999987334</v>
      </c>
      <c r="I82" s="16">
        <f>I58-I65-I74-SUM(I75:I81)</f>
        <v>-1378.3324000053108</v>
      </c>
      <c r="J82" s="16">
        <f>J58-J65-J74-SUM(J75:J81)</f>
        <v>-1960.9123719986528</v>
      </c>
      <c r="K82" s="16">
        <f>K58-K65-K74-SUM(K75:K81)</f>
        <v>-2510.96496222727</v>
      </c>
      <c r="L82" s="16">
        <f>L58-L65-L74-SUM(L75:L81)</f>
        <v>-3024.7640862874687</v>
      </c>
    </row>
    <row r="83" spans="1:12">
      <c r="A83" s="17" t="s">
        <v>148</v>
      </c>
      <c r="B83" s="35">
        <f t="shared" ref="B83:L83" si="27">SUM(B75:B82)</f>
        <v>2080691</v>
      </c>
      <c r="C83" s="35">
        <f t="shared" si="27"/>
        <v>3005537</v>
      </c>
      <c r="D83" s="35">
        <f t="shared" si="27"/>
        <v>3690127</v>
      </c>
      <c r="E83" s="35">
        <f t="shared" si="27"/>
        <v>3879293</v>
      </c>
      <c r="F83" s="35">
        <f t="shared" si="27"/>
        <v>5382849</v>
      </c>
      <c r="G83" s="35">
        <f t="shared" si="27"/>
        <v>6065195</v>
      </c>
      <c r="H83" s="36">
        <f t="shared" si="27"/>
        <v>8567502.0256575346</v>
      </c>
      <c r="I83" s="36">
        <f t="shared" si="27"/>
        <v>9603741.5262213759</v>
      </c>
      <c r="J83" s="36">
        <f t="shared" si="27"/>
        <v>10570339.392368548</v>
      </c>
      <c r="K83" s="36">
        <f t="shared" si="27"/>
        <v>11489701.881301658</v>
      </c>
      <c r="L83" s="36">
        <f t="shared" si="27"/>
        <v>12362600.806433998</v>
      </c>
    </row>
    <row r="84" spans="1:12">
      <c r="A84" s="17" t="s">
        <v>149</v>
      </c>
      <c r="B84" s="35">
        <f t="shared" ref="B84:L84" si="28">SUM(B74,B83)</f>
        <v>3303947</v>
      </c>
      <c r="C84" s="35">
        <f t="shared" si="28"/>
        <v>4098341</v>
      </c>
      <c r="D84" s="35">
        <f t="shared" si="28"/>
        <v>4799276</v>
      </c>
      <c r="E84" s="35">
        <f t="shared" si="28"/>
        <v>4772404</v>
      </c>
      <c r="F84" s="35">
        <f t="shared" si="28"/>
        <v>5953360</v>
      </c>
      <c r="G84" s="35">
        <f t="shared" si="28"/>
        <v>6500167</v>
      </c>
      <c r="H84" s="36">
        <f t="shared" si="28"/>
        <v>9074686.2256575339</v>
      </c>
      <c r="I84" s="36">
        <f t="shared" si="28"/>
        <v>10050682.418621376</v>
      </c>
      <c r="J84" s="36">
        <f t="shared" si="28"/>
        <v>10956962.864740547</v>
      </c>
      <c r="K84" s="36">
        <f t="shared" si="28"/>
        <v>11815975.406263888</v>
      </c>
      <c r="L84" s="36">
        <f t="shared" si="28"/>
        <v>12628488.130520284</v>
      </c>
    </row>
    <row r="85" spans="1:12">
      <c r="A85" s="17" t="s">
        <v>234</v>
      </c>
      <c r="B85" s="35">
        <f t="shared" ref="B85:L85" si="29">B65+B84</f>
        <v>5570510</v>
      </c>
      <c r="C85" s="35">
        <f t="shared" si="29"/>
        <v>7168531</v>
      </c>
      <c r="D85" s="35">
        <f t="shared" si="29"/>
        <v>9003059</v>
      </c>
      <c r="E85" s="35">
        <f t="shared" si="29"/>
        <v>10377715</v>
      </c>
      <c r="F85" s="35">
        <f t="shared" si="29"/>
        <v>13055794</v>
      </c>
      <c r="G85" s="35">
        <f t="shared" si="29"/>
        <v>15171280</v>
      </c>
      <c r="H85" s="36">
        <f t="shared" si="29"/>
        <v>19321363.808446266</v>
      </c>
      <c r="I85" s="36">
        <f t="shared" si="29"/>
        <v>22289402.523953676</v>
      </c>
      <c r="J85" s="36">
        <f t="shared" si="29"/>
        <v>25650548.667757802</v>
      </c>
      <c r="K85" s="36">
        <f t="shared" si="29"/>
        <v>29443340.021749049</v>
      </c>
      <c r="L85" s="36">
        <f t="shared" si="29"/>
        <v>33651813.642294385</v>
      </c>
    </row>
    <row r="86" spans="1:12">
      <c r="A86" s="17" t="s">
        <v>235</v>
      </c>
      <c r="B86" s="35">
        <f t="shared" ref="B86:L86" si="30">B58-B85</f>
        <v>0</v>
      </c>
      <c r="C86" s="35">
        <f t="shared" si="30"/>
        <v>0</v>
      </c>
      <c r="D86" s="35">
        <f t="shared" si="30"/>
        <v>0</v>
      </c>
      <c r="E86" s="35">
        <f t="shared" si="30"/>
        <v>0</v>
      </c>
      <c r="F86" s="35">
        <f t="shared" si="30"/>
        <v>0</v>
      </c>
      <c r="G86" s="35">
        <f t="shared" si="30"/>
        <v>0</v>
      </c>
      <c r="H86" s="36">
        <f t="shared" si="30"/>
        <v>0</v>
      </c>
      <c r="I86" s="36">
        <f t="shared" si="30"/>
        <v>0</v>
      </c>
      <c r="J86" s="36">
        <f t="shared" si="30"/>
        <v>0</v>
      </c>
      <c r="K86" s="36">
        <f t="shared" si="30"/>
        <v>0</v>
      </c>
      <c r="L86" s="36">
        <f t="shared" si="30"/>
        <v>0</v>
      </c>
    </row>
    <row r="87" spans="1:12">
      <c r="A87" s="17" t="s">
        <v>236</v>
      </c>
      <c r="B87" s="35">
        <f t="shared" ref="B87:L87" si="31">B44-B43-B42</f>
        <v>0</v>
      </c>
      <c r="C87" s="35">
        <f t="shared" si="31"/>
        <v>0</v>
      </c>
      <c r="D87" s="35">
        <f t="shared" si="31"/>
        <v>0</v>
      </c>
      <c r="E87" s="35">
        <f t="shared" si="31"/>
        <v>0</v>
      </c>
      <c r="F87" s="35">
        <f t="shared" si="31"/>
        <v>0</v>
      </c>
      <c r="G87" s="35">
        <f t="shared" si="31"/>
        <v>0</v>
      </c>
      <c r="H87" s="36">
        <f t="shared" si="31"/>
        <v>0</v>
      </c>
      <c r="I87" s="36">
        <f t="shared" si="31"/>
        <v>0</v>
      </c>
      <c r="J87" s="36">
        <f t="shared" si="31"/>
        <v>0</v>
      </c>
      <c r="K87" s="36">
        <f t="shared" si="31"/>
        <v>0</v>
      </c>
      <c r="L87" s="36">
        <f t="shared" si="31"/>
        <v>0</v>
      </c>
    </row>
    <row r="88" spans="1:12">
      <c r="A88" s="17" t="s">
        <v>237</v>
      </c>
      <c r="B88" s="35">
        <f t="shared" ref="B88:L88" si="32">SUM(B67,B68,B69,B76,B77,B78)</f>
        <v>1473710</v>
      </c>
      <c r="C88" s="35">
        <f t="shared" si="32"/>
        <v>1475167</v>
      </c>
      <c r="D88" s="35">
        <f t="shared" si="32"/>
        <v>1784532</v>
      </c>
      <c r="E88" s="35">
        <f t="shared" si="32"/>
        <v>1173178</v>
      </c>
      <c r="F88" s="35">
        <f t="shared" si="32"/>
        <v>1086816</v>
      </c>
      <c r="G88" s="35">
        <f t="shared" si="32"/>
        <v>755332</v>
      </c>
      <c r="H88" s="36">
        <f t="shared" si="32"/>
        <v>665332</v>
      </c>
      <c r="I88" s="36">
        <f t="shared" si="32"/>
        <v>575332</v>
      </c>
      <c r="J88" s="36">
        <f t="shared" si="32"/>
        <v>485332</v>
      </c>
      <c r="K88" s="36">
        <f t="shared" si="32"/>
        <v>395332</v>
      </c>
      <c r="L88" s="36">
        <f t="shared" si="32"/>
        <v>305332</v>
      </c>
    </row>
    <row r="89" spans="1:12">
      <c r="A89" s="17" t="s">
        <v>238</v>
      </c>
      <c r="B89" s="35">
        <f t="shared" ref="B89:L89" si="33">B88-B56</f>
        <v>993292</v>
      </c>
      <c r="C89" s="35">
        <f t="shared" si="33"/>
        <v>1056552</v>
      </c>
      <c r="D89" s="35">
        <f t="shared" si="33"/>
        <v>1401814</v>
      </c>
      <c r="E89" s="35">
        <f t="shared" si="33"/>
        <v>954789</v>
      </c>
      <c r="F89" s="35">
        <f t="shared" si="33"/>
        <v>195794</v>
      </c>
      <c r="G89" s="35">
        <f t="shared" si="33"/>
        <v>-199482</v>
      </c>
      <c r="H89" s="36">
        <f t="shared" si="33"/>
        <v>-780096.70965941623</v>
      </c>
      <c r="I89" s="36">
        <f t="shared" si="33"/>
        <v>-1054342.3959792</v>
      </c>
      <c r="J89" s="36">
        <f t="shared" si="33"/>
        <v>-1650046.4645443009</v>
      </c>
      <c r="K89" s="36">
        <f t="shared" si="33"/>
        <v>-2602987.9404860032</v>
      </c>
      <c r="L89" s="36">
        <f t="shared" si="33"/>
        <v>-3922811.4436073219</v>
      </c>
    </row>
    <row r="90" spans="1:12">
      <c r="A90" s="17" t="s">
        <v>239</v>
      </c>
      <c r="B90" s="35">
        <f t="shared" ref="B90:L90" si="34">SUM(B51:B55)-B75-B79-B80-B81</f>
        <v>-784364</v>
      </c>
      <c r="C90" s="35">
        <f t="shared" si="34"/>
        <v>-1043436</v>
      </c>
      <c r="D90" s="35">
        <f t="shared" si="34"/>
        <v>-677142</v>
      </c>
      <c r="E90" s="35">
        <f t="shared" si="34"/>
        <v>-546580</v>
      </c>
      <c r="F90" s="35">
        <f t="shared" si="34"/>
        <v>-1250676</v>
      </c>
      <c r="G90" s="35">
        <f t="shared" si="34"/>
        <v>-1693357</v>
      </c>
      <c r="H90" s="36">
        <f t="shared" si="34"/>
        <v>-2554205.263150685</v>
      </c>
      <c r="I90" s="36">
        <f t="shared" si="34"/>
        <v>-2852485.6622436163</v>
      </c>
      <c r="J90" s="36">
        <f t="shared" si="34"/>
        <v>-3148913.8131243926</v>
      </c>
      <c r="K90" s="36">
        <f t="shared" si="34"/>
        <v>-3435766.7232942162</v>
      </c>
      <c r="L90" s="36">
        <f t="shared" si="34"/>
        <v>-3713016.6710977694</v>
      </c>
    </row>
  </sheetData>
  <mergeCells count="7">
    <mergeCell ref="A59:L59"/>
    <mergeCell ref="A66:L66"/>
    <mergeCell ref="A1:L1"/>
    <mergeCell ref="A2:L2"/>
    <mergeCell ref="A5:L5"/>
    <mergeCell ref="A30:L30"/>
    <mergeCell ref="A45:L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8"/>
  <sheetViews>
    <sheetView showGridLines="0" topLeftCell="A18" workbookViewId="0">
      <selection activeCell="H34" sqref="H34"/>
    </sheetView>
  </sheetViews>
  <sheetFormatPr defaultRowHeight="13.8"/>
  <cols>
    <col min="1" max="1" width="38" customWidth="1"/>
    <col min="2" max="12" width="13" customWidth="1"/>
  </cols>
  <sheetData>
    <row r="1" spans="1:12" ht="22.05" customHeight="1">
      <c r="A1" s="59" t="s">
        <v>240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30" customHeight="1">
      <c r="A2" s="61" t="s">
        <v>241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2" ht="18" customHeight="1">
      <c r="A3" s="6" t="s">
        <v>2</v>
      </c>
      <c r="B3" s="24">
        <v>2020</v>
      </c>
      <c r="C3" s="24">
        <v>2021</v>
      </c>
      <c r="D3" s="24">
        <v>2022</v>
      </c>
      <c r="E3" s="24">
        <v>2023</v>
      </c>
      <c r="F3" s="24">
        <v>2024</v>
      </c>
      <c r="G3" s="24">
        <v>2025</v>
      </c>
      <c r="H3" s="24">
        <v>2026</v>
      </c>
      <c r="I3" s="24">
        <v>2027</v>
      </c>
      <c r="J3" s="24">
        <v>2028</v>
      </c>
      <c r="K3" s="24">
        <v>2029</v>
      </c>
      <c r="L3" s="24">
        <v>2030</v>
      </c>
    </row>
    <row r="4" spans="1:12" ht="18" customHeight="1">
      <c r="A4" s="6" t="s">
        <v>187</v>
      </c>
      <c r="B4" s="7" t="s">
        <v>54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3</v>
      </c>
      <c r="I4" s="7" t="s">
        <v>19</v>
      </c>
      <c r="J4" s="7" t="s">
        <v>20</v>
      </c>
      <c r="K4" s="7" t="s">
        <v>21</v>
      </c>
      <c r="L4" s="7" t="s">
        <v>4</v>
      </c>
    </row>
    <row r="5" spans="1:12" ht="18" customHeight="1">
      <c r="A5" s="63" t="s">
        <v>242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6" spans="1:12">
      <c r="A6" s="37" t="s">
        <v>132</v>
      </c>
      <c r="B6" s="15">
        <f>'Source Data'!B43</f>
        <v>725851</v>
      </c>
      <c r="C6" s="15">
        <f>'Source Data'!C43</f>
        <v>583014</v>
      </c>
      <c r="D6" s="15">
        <f>'Source Data'!D43</f>
        <v>690862</v>
      </c>
      <c r="E6" s="15">
        <f>'Source Data'!E43</f>
        <v>469629</v>
      </c>
      <c r="F6" s="15">
        <f>'Source Data'!F43</f>
        <v>272219</v>
      </c>
      <c r="G6" s="15">
        <f>'Source Data'!G43</f>
        <v>312861</v>
      </c>
      <c r="H6" s="16">
        <f>(G6+G7+Assumptions!B44)*(1-Assumptions!B45)</f>
        <v>266517.28999999998</v>
      </c>
      <c r="I6" s="16">
        <f>(H6+H7+Assumptions!C44)*(1-Assumptions!C45)</f>
        <v>216267.28999999998</v>
      </c>
      <c r="J6" s="16">
        <f>(I6+I7+Assumptions!D44)*(1-Assumptions!D45)</f>
        <v>166017.28999999998</v>
      </c>
      <c r="K6" s="16">
        <f>(J6+J7+Assumptions!E44)*(1-Assumptions!E45)</f>
        <v>115767.29</v>
      </c>
      <c r="L6" s="16">
        <f>(K6+K7+Assumptions!F44)*(1-Assumptions!F45)</f>
        <v>65517.289999999994</v>
      </c>
    </row>
    <row r="7" spans="1:12">
      <c r="A7" s="37" t="s">
        <v>142</v>
      </c>
      <c r="B7" s="15">
        <f>'Source Data'!B53</f>
        <v>216868</v>
      </c>
      <c r="C7" s="15">
        <f>'Source Data'!C53</f>
        <v>196169</v>
      </c>
      <c r="D7" s="15">
        <f>'Source Data'!D53</f>
        <v>410157</v>
      </c>
      <c r="E7" s="15">
        <f>'Source Data'!E53</f>
        <v>278588</v>
      </c>
      <c r="F7" s="15">
        <f>'Source Data'!F53</f>
        <v>361034</v>
      </c>
      <c r="G7" s="15">
        <f>'Source Data'!G53</f>
        <v>159926</v>
      </c>
      <c r="H7" s="16">
        <f>(G6+G7+Assumptions!B44)*Assumptions!B45</f>
        <v>131269.71</v>
      </c>
      <c r="I7" s="16">
        <f>(H6+H7+Assumptions!C44)*Assumptions!C45</f>
        <v>106519.71</v>
      </c>
      <c r="J7" s="16">
        <f>(I6+I7+Assumptions!D44)*Assumptions!D45</f>
        <v>81769.710000000006</v>
      </c>
      <c r="K7" s="16">
        <f>(J6+J7+Assumptions!E44)*Assumptions!E45</f>
        <v>57019.71</v>
      </c>
      <c r="L7" s="16">
        <f>(K6+K7+Assumptions!F44)*Assumptions!F45</f>
        <v>32269.710000000003</v>
      </c>
    </row>
    <row r="8" spans="1:12">
      <c r="A8" s="37" t="s">
        <v>133</v>
      </c>
      <c r="B8" s="15">
        <f>'Source Data'!B44</f>
        <v>67876</v>
      </c>
      <c r="C8" s="15">
        <f>'Source Data'!C44</f>
        <v>46621</v>
      </c>
      <c r="D8" s="15">
        <f>'Source Data'!D44</f>
        <v>34673</v>
      </c>
      <c r="E8" s="15">
        <f>'Source Data'!E44</f>
        <v>35612</v>
      </c>
      <c r="F8" s="15">
        <f>'Source Data'!F44</f>
        <v>60818</v>
      </c>
      <c r="G8" s="15">
        <f>'Source Data'!G44</f>
        <v>87851</v>
      </c>
      <c r="H8" s="16">
        <f>(G8+G9+Assumptions!B46)*(1-Assumptions!B47)</f>
        <v>99273.77</v>
      </c>
      <c r="I8" s="16">
        <f>(H8+H9+Assumptions!C46)*(1-Assumptions!C47)</f>
        <v>111123.77</v>
      </c>
      <c r="J8" s="16">
        <f>(I8+I9+Assumptions!D46)*(1-Assumptions!D47)</f>
        <v>122973.77</v>
      </c>
      <c r="K8" s="16">
        <f>(J8+J9+Assumptions!E46)*(1-Assumptions!E47)</f>
        <v>134823.77000000002</v>
      </c>
      <c r="L8" s="16">
        <f>(K8+K9+Assumptions!F46)*(1-Assumptions!F47)</f>
        <v>146673.77000000002</v>
      </c>
    </row>
    <row r="9" spans="1:12">
      <c r="A9" s="37" t="s">
        <v>143</v>
      </c>
      <c r="B9" s="15">
        <f>'Source Data'!B54</f>
        <v>42249</v>
      </c>
      <c r="C9" s="15">
        <f>'Source Data'!C54</f>
        <v>27721</v>
      </c>
      <c r="D9" s="15">
        <f>'Source Data'!D54</f>
        <v>17893</v>
      </c>
      <c r="E9" s="15">
        <f>'Source Data'!E54</f>
        <v>14565</v>
      </c>
      <c r="F9" s="15">
        <f>'Source Data'!F54</f>
        <v>17900</v>
      </c>
      <c r="G9" s="15">
        <f>'Source Data'!G54</f>
        <v>22812</v>
      </c>
      <c r="H9" s="16">
        <f>(G8+G9+Assumptions!B46)*Assumptions!B47</f>
        <v>26389.23</v>
      </c>
      <c r="I9" s="16">
        <f>(H8+H9+Assumptions!C46)*Assumptions!C47</f>
        <v>29539.23</v>
      </c>
      <c r="J9" s="16">
        <f>(I8+I9+Assumptions!D46)*Assumptions!D47</f>
        <v>32689.23</v>
      </c>
      <c r="K9" s="16">
        <f>(J8+J9+Assumptions!E46)*Assumptions!E47</f>
        <v>35839.229999999996</v>
      </c>
      <c r="L9" s="16">
        <f>(K8+K9+Assumptions!F46)*Assumptions!F47</f>
        <v>38989.229999999996</v>
      </c>
    </row>
    <row r="10" spans="1:12">
      <c r="A10" s="37" t="s">
        <v>227</v>
      </c>
      <c r="B10" s="15">
        <f>'Source Data'!B45</f>
        <v>419936</v>
      </c>
      <c r="C10" s="15">
        <f>'Source Data'!C45</f>
        <v>450000</v>
      </c>
      <c r="D10" s="15">
        <f>'Source Data'!D45</f>
        <v>370000</v>
      </c>
      <c r="E10" s="15">
        <f>'Source Data'!E45</f>
        <v>370000</v>
      </c>
      <c r="F10" s="15">
        <f>'Source Data'!F45</f>
        <v>170000</v>
      </c>
      <c r="G10" s="15">
        <f>'Source Data'!G45</f>
        <v>0</v>
      </c>
      <c r="H10" s="16">
        <f>(G10+G11+Assumptions!B48)*(1-Assumptions!B49)</f>
        <v>106411.5</v>
      </c>
      <c r="I10" s="16">
        <f>(H10+H11+Assumptions!C48)*(1-Assumptions!C49)</f>
        <v>83911.5</v>
      </c>
      <c r="J10" s="16">
        <f>(I10+I11+Assumptions!D48)*(1-Assumptions!D49)</f>
        <v>61411.5</v>
      </c>
      <c r="K10" s="16">
        <f>(J10+J11+Assumptions!E48)*(1-Assumptions!E49)</f>
        <v>38911.5</v>
      </c>
      <c r="L10" s="16">
        <f>(K10+K11+Assumptions!F48)*(1-Assumptions!F49)</f>
        <v>16411.5</v>
      </c>
    </row>
    <row r="11" spans="1:12">
      <c r="A11" s="37" t="s">
        <v>231</v>
      </c>
      <c r="B11" s="15">
        <f>'Source Data'!B55</f>
        <v>930</v>
      </c>
      <c r="C11" s="15">
        <f>'Source Data'!C55</f>
        <v>171642</v>
      </c>
      <c r="D11" s="15">
        <f>'Source Data'!D55</f>
        <v>260947</v>
      </c>
      <c r="E11" s="15">
        <f>'Source Data'!E55</f>
        <v>4784</v>
      </c>
      <c r="F11" s="15">
        <f>'Source Data'!F55</f>
        <v>204845</v>
      </c>
      <c r="G11" s="15">
        <f>'Source Data'!G55</f>
        <v>171882</v>
      </c>
      <c r="H11" s="16">
        <f>(G10+G11+Assumptions!B48)*Assumptions!B49</f>
        <v>35470.5</v>
      </c>
      <c r="I11" s="16">
        <f>(H10+H11+Assumptions!C48)*Assumptions!C49</f>
        <v>27970.5</v>
      </c>
      <c r="J11" s="16">
        <f>(I10+I11+Assumptions!D48)*Assumptions!D49</f>
        <v>20470.5</v>
      </c>
      <c r="K11" s="16">
        <f>(J10+J11+Assumptions!E48)*Assumptions!E49</f>
        <v>12970.5</v>
      </c>
      <c r="L11" s="16">
        <f>(K10+K11+Assumptions!F48)*Assumptions!F49</f>
        <v>5470.5</v>
      </c>
    </row>
    <row r="12" spans="1:12">
      <c r="A12" s="38" t="s">
        <v>237</v>
      </c>
      <c r="B12" s="35">
        <f t="shared" ref="B12:L12" si="0">SUM(B6:B11)</f>
        <v>1473710</v>
      </c>
      <c r="C12" s="35">
        <f t="shared" si="0"/>
        <v>1475167</v>
      </c>
      <c r="D12" s="35">
        <f t="shared" si="0"/>
        <v>1784532</v>
      </c>
      <c r="E12" s="35">
        <f t="shared" si="0"/>
        <v>1173178</v>
      </c>
      <c r="F12" s="35">
        <f t="shared" si="0"/>
        <v>1086816</v>
      </c>
      <c r="G12" s="35">
        <f t="shared" si="0"/>
        <v>755332</v>
      </c>
      <c r="H12" s="36">
        <f t="shared" si="0"/>
        <v>665332</v>
      </c>
      <c r="I12" s="36">
        <f t="shared" si="0"/>
        <v>575332</v>
      </c>
      <c r="J12" s="36">
        <f t="shared" si="0"/>
        <v>485332</v>
      </c>
      <c r="K12" s="36">
        <f t="shared" si="0"/>
        <v>395332</v>
      </c>
      <c r="L12" s="36">
        <f t="shared" si="0"/>
        <v>305332</v>
      </c>
    </row>
    <row r="13" spans="1:12">
      <c r="A13" s="37" t="s">
        <v>122</v>
      </c>
      <c r="B13" s="15">
        <f>'3-Statement Model'!B56</f>
        <v>480418</v>
      </c>
      <c r="C13" s="15">
        <f>'3-Statement Model'!C56</f>
        <v>418615</v>
      </c>
      <c r="D13" s="15">
        <f>'3-Statement Model'!D56</f>
        <v>382718</v>
      </c>
      <c r="E13" s="15">
        <f>'3-Statement Model'!E56</f>
        <v>218389</v>
      </c>
      <c r="F13" s="15">
        <f>'3-Statement Model'!F56</f>
        <v>891022</v>
      </c>
      <c r="G13" s="15">
        <f>'3-Statement Model'!G56</f>
        <v>954814</v>
      </c>
      <c r="H13" s="16">
        <f>'3-Statement Model'!H56</f>
        <v>1445428.7096594162</v>
      </c>
      <c r="I13" s="16">
        <f>'3-Statement Model'!I56</f>
        <v>1629674.3959792</v>
      </c>
      <c r="J13" s="16">
        <f>'3-Statement Model'!J56</f>
        <v>2135378.4645443009</v>
      </c>
      <c r="K13" s="16">
        <f>'3-Statement Model'!K56</f>
        <v>2998319.9404860032</v>
      </c>
      <c r="L13" s="16">
        <f>'3-Statement Model'!L56</f>
        <v>4228143.4436073219</v>
      </c>
    </row>
    <row r="14" spans="1:12">
      <c r="A14" s="38" t="s">
        <v>238</v>
      </c>
      <c r="B14" s="35">
        <f t="shared" ref="B14:L14" si="1">B12-B13</f>
        <v>993292</v>
      </c>
      <c r="C14" s="35">
        <f t="shared" si="1"/>
        <v>1056552</v>
      </c>
      <c r="D14" s="35">
        <f t="shared" si="1"/>
        <v>1401814</v>
      </c>
      <c r="E14" s="35">
        <f t="shared" si="1"/>
        <v>954789</v>
      </c>
      <c r="F14" s="35">
        <f t="shared" si="1"/>
        <v>195794</v>
      </c>
      <c r="G14" s="35">
        <f t="shared" si="1"/>
        <v>-199482</v>
      </c>
      <c r="H14" s="36">
        <f t="shared" si="1"/>
        <v>-780096.70965941623</v>
      </c>
      <c r="I14" s="36">
        <f t="shared" si="1"/>
        <v>-1054342.3959792</v>
      </c>
      <c r="J14" s="36">
        <f t="shared" si="1"/>
        <v>-1650046.4645443009</v>
      </c>
      <c r="K14" s="36">
        <f t="shared" si="1"/>
        <v>-2602987.9404860032</v>
      </c>
      <c r="L14" s="36">
        <f t="shared" si="1"/>
        <v>-3922811.4436073219</v>
      </c>
    </row>
    <row r="15" spans="1:12">
      <c r="A15" s="37" t="s">
        <v>243</v>
      </c>
      <c r="B15" s="44">
        <f>B12</f>
        <v>1473710</v>
      </c>
      <c r="C15" s="15">
        <f t="shared" ref="C15:L15" si="2">AVERAGE(B12,C12)</f>
        <v>1474438.5</v>
      </c>
      <c r="D15" s="15">
        <f t="shared" si="2"/>
        <v>1629849.5</v>
      </c>
      <c r="E15" s="15">
        <f t="shared" si="2"/>
        <v>1478855</v>
      </c>
      <c r="F15" s="15">
        <f t="shared" si="2"/>
        <v>1129997</v>
      </c>
      <c r="G15" s="15">
        <f t="shared" si="2"/>
        <v>921074</v>
      </c>
      <c r="H15" s="16">
        <f t="shared" si="2"/>
        <v>710332</v>
      </c>
      <c r="I15" s="16">
        <f t="shared" si="2"/>
        <v>620332</v>
      </c>
      <c r="J15" s="16">
        <f t="shared" si="2"/>
        <v>530332</v>
      </c>
      <c r="K15" s="16">
        <f t="shared" si="2"/>
        <v>440332</v>
      </c>
      <c r="L15" s="16">
        <f t="shared" si="2"/>
        <v>350332</v>
      </c>
    </row>
    <row r="16" spans="1:12" ht="18" customHeight="1">
      <c r="A16" s="65" t="s">
        <v>244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</row>
    <row r="17" spans="1:12">
      <c r="A17" s="38" t="s">
        <v>245</v>
      </c>
      <c r="B17" s="35">
        <f>-'Source Data'!B14</f>
        <v>52096</v>
      </c>
      <c r="C17" s="35">
        <f>-'Source Data'!C14</f>
        <v>46703</v>
      </c>
      <c r="D17" s="35">
        <f>-'Source Data'!D14</f>
        <v>141293</v>
      </c>
      <c r="E17" s="35">
        <f>-'Source Data'!E14</f>
        <v>147316</v>
      </c>
      <c r="F17" s="35">
        <f>-'Source Data'!F14</f>
        <v>121424</v>
      </c>
      <c r="G17" s="35">
        <f>-'Source Data'!G14</f>
        <v>122945</v>
      </c>
      <c r="H17" s="40">
        <f>H20+H18+H19</f>
        <v>106863.16899999999</v>
      </c>
      <c r="I17" s="40">
        <f t="shared" ref="I17:L17" si="3">I20+I18+I19</f>
        <v>129645.82464223287</v>
      </c>
      <c r="J17" s="40">
        <f t="shared" si="3"/>
        <v>134865.1619504352</v>
      </c>
      <c r="K17" s="40">
        <f t="shared" si="3"/>
        <v>139340.944678114</v>
      </c>
      <c r="L17" s="40">
        <f t="shared" si="3"/>
        <v>143307.01482693484</v>
      </c>
    </row>
    <row r="18" spans="1:12">
      <c r="A18" s="37" t="s">
        <v>204</v>
      </c>
      <c r="B18" s="43">
        <v>18139</v>
      </c>
      <c r="C18" s="43">
        <v>20434</v>
      </c>
      <c r="D18" s="43">
        <v>15839</v>
      </c>
      <c r="E18" s="43">
        <v>19600</v>
      </c>
      <c r="F18" s="43">
        <v>29836</v>
      </c>
      <c r="G18" s="43">
        <v>54614</v>
      </c>
      <c r="H18" s="16">
        <f>'3-Statement Model'!G75*Assumptions!B51</f>
        <v>57139.928999999996</v>
      </c>
      <c r="I18" s="16">
        <f>'3-Statement Model'!H75*Assumptions!C51</f>
        <v>86222.584642232861</v>
      </c>
      <c r="J18" s="16">
        <f>'3-Statement Model'!I75*Assumptions!D51</f>
        <v>97741.921950435179</v>
      </c>
      <c r="K18" s="16">
        <f>'3-Statement Model'!J75*Assumptions!E51</f>
        <v>108517.70467811401</v>
      </c>
      <c r="L18" s="16">
        <f>'3-Statement Model'!K75*Assumptions!F51</f>
        <v>118783.77482693484</v>
      </c>
    </row>
    <row r="19" spans="1:12">
      <c r="A19" s="37" t="s">
        <v>246</v>
      </c>
      <c r="B19" s="43">
        <f>-SUM('3-Statement Model'!B23,'3-Statement Model'!B24)</f>
        <v>3578</v>
      </c>
      <c r="C19" s="43">
        <f>-SUM('3-Statement Model'!C23,'3-Statement Model'!C24)</f>
        <v>114</v>
      </c>
      <c r="D19" s="43">
        <f>-SUM('3-Statement Model'!D23,'3-Statement Model'!D24)</f>
        <v>622</v>
      </c>
      <c r="E19" s="43">
        <f>-SUM('3-Statement Model'!E23,'3-Statement Model'!E24)</f>
        <v>431</v>
      </c>
      <c r="F19" s="43">
        <f>-SUM('3-Statement Model'!F23,'3-Statement Model'!F24)</f>
        <v>631</v>
      </c>
      <c r="G19" s="43">
        <f>-SUM('3-Statement Model'!G23,'3-Statement Model'!G24)</f>
        <v>385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</row>
    <row r="20" spans="1:12">
      <c r="A20" s="37" t="s">
        <v>203</v>
      </c>
      <c r="B20" s="39">
        <f>B17-B18-B19</f>
        <v>30379</v>
      </c>
      <c r="C20" s="39">
        <f t="shared" ref="C20:G20" si="4">C17-C18-C19</f>
        <v>26155</v>
      </c>
      <c r="D20" s="39">
        <f t="shared" si="4"/>
        <v>124832</v>
      </c>
      <c r="E20" s="39">
        <f t="shared" si="4"/>
        <v>127285</v>
      </c>
      <c r="F20" s="39">
        <f t="shared" si="4"/>
        <v>90957</v>
      </c>
      <c r="G20" s="39">
        <f t="shared" si="4"/>
        <v>67946</v>
      </c>
      <c r="H20" s="16">
        <f>H15*Assumptions!B50</f>
        <v>49723.240000000005</v>
      </c>
      <c r="I20" s="16">
        <f>I15*Assumptions!C50</f>
        <v>43423.240000000005</v>
      </c>
      <c r="J20" s="16">
        <f>J15*Assumptions!D50</f>
        <v>37123.240000000005</v>
      </c>
      <c r="K20" s="16">
        <f>K15*Assumptions!E50</f>
        <v>30823.24</v>
      </c>
      <c r="L20" s="16">
        <f>L15*Assumptions!F50</f>
        <v>24523.24</v>
      </c>
    </row>
    <row r="21" spans="1:12">
      <c r="A21" s="17" t="s">
        <v>247</v>
      </c>
      <c r="B21" s="19">
        <f>B20/B15</f>
        <v>2.0613960684259455E-2</v>
      </c>
      <c r="C21" s="19">
        <f t="shared" ref="C21:G21" si="5">C20/C15</f>
        <v>1.7738956219604956E-2</v>
      </c>
      <c r="D21" s="19">
        <f t="shared" si="5"/>
        <v>7.6591120836617121E-2</v>
      </c>
      <c r="E21" s="19">
        <f t="shared" si="5"/>
        <v>8.6069966291489025E-2</v>
      </c>
      <c r="F21" s="19">
        <f t="shared" si="5"/>
        <v>8.0493134052568277E-2</v>
      </c>
      <c r="G21" s="19">
        <f t="shared" si="5"/>
        <v>7.376823143417359E-2</v>
      </c>
      <c r="H21" s="20">
        <f>H20/H15</f>
        <v>7.0000000000000007E-2</v>
      </c>
      <c r="I21" s="20">
        <f t="shared" ref="I21:L21" si="6">I20/I15</f>
        <v>7.0000000000000007E-2</v>
      </c>
      <c r="J21" s="20">
        <f t="shared" si="6"/>
        <v>7.0000000000000007E-2</v>
      </c>
      <c r="K21" s="20">
        <f t="shared" si="6"/>
        <v>7.0000000000000007E-2</v>
      </c>
      <c r="L21" s="20">
        <f t="shared" si="6"/>
        <v>7.0000000000000007E-2</v>
      </c>
    </row>
    <row r="22" spans="1:12" ht="18" customHeight="1">
      <c r="A22" s="63" t="s">
        <v>248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</row>
    <row r="23" spans="1:12">
      <c r="A23" s="2" t="s">
        <v>249</v>
      </c>
      <c r="B23" s="26">
        <f>Assumptions!B20</f>
        <v>200</v>
      </c>
      <c r="C23" s="26">
        <f>Assumptions!C20</f>
        <v>300</v>
      </c>
      <c r="D23" s="26">
        <f>Assumptions!D20</f>
        <v>330</v>
      </c>
      <c r="E23" s="26">
        <f>Assumptions!E20</f>
        <v>420</v>
      </c>
      <c r="F23" s="26">
        <f>Assumptions!F20</f>
        <v>400</v>
      </c>
      <c r="G23" s="26">
        <f>Assumptions!G20</f>
        <v>43</v>
      </c>
      <c r="H23" s="27">
        <f>'Source Data'!H100</f>
        <v>32.840000000000003</v>
      </c>
      <c r="I23" s="27">
        <f>H23*(1+Assumptions!C28)</f>
        <v>40.655920000000002</v>
      </c>
      <c r="J23" s="27">
        <f>I23*(1+Assumptions!D28)</f>
        <v>50.372684879999994</v>
      </c>
      <c r="K23" s="27">
        <f>J23*(1+Assumptions!E28)</f>
        <v>62.46212925119999</v>
      </c>
      <c r="L23" s="27">
        <f>K23*(1+Assumptions!F28)</f>
        <v>77.453040271487993</v>
      </c>
    </row>
    <row r="24" spans="1:12">
      <c r="A24" s="2" t="s">
        <v>44</v>
      </c>
      <c r="B24" s="15">
        <f>Assumptions!B22</f>
        <v>98040</v>
      </c>
      <c r="C24" s="15">
        <f>Assumptions!C22</f>
        <v>98040</v>
      </c>
      <c r="D24" s="15">
        <f>Assumptions!D22</f>
        <v>98040</v>
      </c>
      <c r="E24" s="15">
        <f>Assumptions!E22</f>
        <v>98040</v>
      </c>
      <c r="F24" s="15">
        <f>Assumptions!F22</f>
        <v>98040</v>
      </c>
      <c r="G24" s="15">
        <f>Assumptions!G22</f>
        <v>980400</v>
      </c>
      <c r="H24" s="16">
        <f>Assumptions!B10</f>
        <v>980400</v>
      </c>
      <c r="I24" s="16">
        <f>Assumptions!B10</f>
        <v>980400</v>
      </c>
      <c r="J24" s="16">
        <f>Assumptions!B10</f>
        <v>980400</v>
      </c>
      <c r="K24" s="16">
        <f>Assumptions!B10</f>
        <v>980400</v>
      </c>
      <c r="L24" s="16">
        <f>Assumptions!B10</f>
        <v>980400</v>
      </c>
    </row>
    <row r="25" spans="1:12">
      <c r="A25" s="17" t="s">
        <v>250</v>
      </c>
      <c r="B25" s="35">
        <f t="shared" ref="B25:L25" si="7">B23*B24</f>
        <v>19608000</v>
      </c>
      <c r="C25" s="35">
        <f t="shared" si="7"/>
        <v>29412000</v>
      </c>
      <c r="D25" s="35">
        <f t="shared" si="7"/>
        <v>32353200</v>
      </c>
      <c r="E25" s="35">
        <f t="shared" si="7"/>
        <v>41176800</v>
      </c>
      <c r="F25" s="35">
        <f t="shared" si="7"/>
        <v>39216000</v>
      </c>
      <c r="G25" s="35">
        <f t="shared" si="7"/>
        <v>42157200</v>
      </c>
      <c r="H25" s="36">
        <f t="shared" si="7"/>
        <v>32196336.000000004</v>
      </c>
      <c r="I25" s="36">
        <f t="shared" si="7"/>
        <v>39859063.968000002</v>
      </c>
      <c r="J25" s="36">
        <f t="shared" si="7"/>
        <v>49385380.256351992</v>
      </c>
      <c r="K25" s="36">
        <f t="shared" si="7"/>
        <v>61237871.517876469</v>
      </c>
      <c r="L25" s="36">
        <f t="shared" si="7"/>
        <v>75934960.68216683</v>
      </c>
    </row>
    <row r="26" spans="1:12">
      <c r="A26" s="2" t="s">
        <v>237</v>
      </c>
      <c r="B26" s="15">
        <f t="shared" ref="B26:L26" si="8">B12</f>
        <v>1473710</v>
      </c>
      <c r="C26" s="15">
        <f t="shared" si="8"/>
        <v>1475167</v>
      </c>
      <c r="D26" s="15">
        <f t="shared" si="8"/>
        <v>1784532</v>
      </c>
      <c r="E26" s="15">
        <f t="shared" si="8"/>
        <v>1173178</v>
      </c>
      <c r="F26" s="15">
        <f t="shared" si="8"/>
        <v>1086816</v>
      </c>
      <c r="G26" s="15">
        <f t="shared" si="8"/>
        <v>755332</v>
      </c>
      <c r="H26" s="16">
        <f t="shared" si="8"/>
        <v>665332</v>
      </c>
      <c r="I26" s="16">
        <f t="shared" si="8"/>
        <v>575332</v>
      </c>
      <c r="J26" s="16">
        <f t="shared" si="8"/>
        <v>485332</v>
      </c>
      <c r="K26" s="16">
        <f t="shared" si="8"/>
        <v>395332</v>
      </c>
      <c r="L26" s="16">
        <f t="shared" si="8"/>
        <v>305332</v>
      </c>
    </row>
    <row r="27" spans="1:12">
      <c r="A27" s="2" t="s">
        <v>122</v>
      </c>
      <c r="B27" s="15">
        <f t="shared" ref="B27:L27" si="9">B13</f>
        <v>480418</v>
      </c>
      <c r="C27" s="15">
        <f t="shared" si="9"/>
        <v>418615</v>
      </c>
      <c r="D27" s="15">
        <f t="shared" si="9"/>
        <v>382718</v>
      </c>
      <c r="E27" s="15">
        <f t="shared" si="9"/>
        <v>218389</v>
      </c>
      <c r="F27" s="15">
        <f t="shared" si="9"/>
        <v>891022</v>
      </c>
      <c r="G27" s="15">
        <f t="shared" si="9"/>
        <v>954814</v>
      </c>
      <c r="H27" s="16">
        <f t="shared" si="9"/>
        <v>1445428.7096594162</v>
      </c>
      <c r="I27" s="16">
        <f t="shared" si="9"/>
        <v>1629674.3959792</v>
      </c>
      <c r="J27" s="16">
        <f t="shared" si="9"/>
        <v>2135378.4645443009</v>
      </c>
      <c r="K27" s="16">
        <f t="shared" si="9"/>
        <v>2998319.9404860032</v>
      </c>
      <c r="L27" s="16">
        <f t="shared" si="9"/>
        <v>4228143.4436073219</v>
      </c>
    </row>
    <row r="28" spans="1:12">
      <c r="A28" s="2" t="s">
        <v>238</v>
      </c>
      <c r="B28" s="15">
        <f t="shared" ref="B28:L28" si="10">B14</f>
        <v>993292</v>
      </c>
      <c r="C28" s="15">
        <f t="shared" si="10"/>
        <v>1056552</v>
      </c>
      <c r="D28" s="15">
        <f t="shared" si="10"/>
        <v>1401814</v>
      </c>
      <c r="E28" s="15">
        <f t="shared" si="10"/>
        <v>954789</v>
      </c>
      <c r="F28" s="15">
        <f t="shared" si="10"/>
        <v>195794</v>
      </c>
      <c r="G28" s="15">
        <f t="shared" si="10"/>
        <v>-199482</v>
      </c>
      <c r="H28" s="16">
        <f t="shared" si="10"/>
        <v>-780096.70965941623</v>
      </c>
      <c r="I28" s="16">
        <f t="shared" si="10"/>
        <v>-1054342.3959792</v>
      </c>
      <c r="J28" s="16">
        <f t="shared" si="10"/>
        <v>-1650046.4645443009</v>
      </c>
      <c r="K28" s="16">
        <f t="shared" si="10"/>
        <v>-2602987.9404860032</v>
      </c>
      <c r="L28" s="16">
        <f t="shared" si="10"/>
        <v>-3922811.4436073219</v>
      </c>
    </row>
    <row r="29" spans="1:12">
      <c r="A29" s="17" t="s">
        <v>251</v>
      </c>
      <c r="B29" s="35">
        <f t="shared" ref="B29:L29" si="11">B25+B28</f>
        <v>20601292</v>
      </c>
      <c r="C29" s="35">
        <f t="shared" si="11"/>
        <v>30468552</v>
      </c>
      <c r="D29" s="35">
        <f t="shared" si="11"/>
        <v>33755014</v>
      </c>
      <c r="E29" s="35">
        <f t="shared" si="11"/>
        <v>42131589</v>
      </c>
      <c r="F29" s="35">
        <f t="shared" si="11"/>
        <v>39411794</v>
      </c>
      <c r="G29" s="35">
        <f t="shared" si="11"/>
        <v>41957718</v>
      </c>
      <c r="H29" s="36">
        <f t="shared" si="11"/>
        <v>31416239.290340587</v>
      </c>
      <c r="I29" s="36">
        <f t="shared" si="11"/>
        <v>38804721.572020799</v>
      </c>
      <c r="J29" s="36">
        <f t="shared" si="11"/>
        <v>47735333.791807689</v>
      </c>
      <c r="K29" s="36">
        <f t="shared" si="11"/>
        <v>58634883.577390462</v>
      </c>
      <c r="L29" s="36">
        <f t="shared" si="11"/>
        <v>72012149.238559514</v>
      </c>
    </row>
    <row r="30" spans="1:12">
      <c r="A30" s="2" t="s">
        <v>252</v>
      </c>
      <c r="B30" s="14">
        <f>-'Source Data'!B16/'Source Data'!B15</f>
        <v>0.18388212927756653</v>
      </c>
      <c r="C30" s="14">
        <f>-'Source Data'!C16/'Source Data'!C15</f>
        <v>0.17692600947047707</v>
      </c>
      <c r="D30" s="14">
        <f>-'Source Data'!D16/'Source Data'!D15</f>
        <v>0.1922998991165924</v>
      </c>
      <c r="E30" s="14">
        <f>-'Source Data'!E16/'Source Data'!E15</f>
        <v>0.19186753621804953</v>
      </c>
      <c r="F30" s="14">
        <f>-'Source Data'!F16/'Source Data'!F15</f>
        <v>0.16048167808992492</v>
      </c>
      <c r="G30" s="14">
        <f>-'Source Data'!G16/'Source Data'!G15</f>
        <v>0.19093007407145968</v>
      </c>
      <c r="H30" s="13">
        <f>Assumptions!B15</f>
        <v>0.19</v>
      </c>
      <c r="I30" s="13">
        <f>Assumptions!B15</f>
        <v>0.19</v>
      </c>
      <c r="J30" s="13">
        <f>Assumptions!B15</f>
        <v>0.19</v>
      </c>
      <c r="K30" s="13">
        <f>Assumptions!B15</f>
        <v>0.19</v>
      </c>
      <c r="L30" s="13">
        <f>Assumptions!B15</f>
        <v>0.19</v>
      </c>
    </row>
    <row r="31" spans="1:12">
      <c r="A31" s="2" t="s">
        <v>253</v>
      </c>
      <c r="B31" s="14">
        <f t="shared" ref="B31:L31" si="12">B21*(1-B30)</f>
        <v>1.6823421700793786E-2</v>
      </c>
      <c r="C31" s="14">
        <f t="shared" si="12"/>
        <v>1.4600473483498751E-2</v>
      </c>
      <c r="D31" s="14">
        <f t="shared" si="12"/>
        <v>6.1862656026508908E-2</v>
      </c>
      <c r="E31" s="14">
        <f t="shared" si="12"/>
        <v>6.9555933916770452E-2</v>
      </c>
      <c r="F31" s="14">
        <f t="shared" si="12"/>
        <v>6.7575460825094844E-2</v>
      </c>
      <c r="G31" s="14">
        <f t="shared" si="12"/>
        <v>5.9683657542326247E-2</v>
      </c>
      <c r="H31" s="13">
        <f t="shared" si="12"/>
        <v>5.6700000000000007E-2</v>
      </c>
      <c r="I31" s="13">
        <f t="shared" si="12"/>
        <v>5.6700000000000007E-2</v>
      </c>
      <c r="J31" s="13">
        <f t="shared" si="12"/>
        <v>5.6700000000000007E-2</v>
      </c>
      <c r="K31" s="13">
        <f t="shared" si="12"/>
        <v>5.6700000000000007E-2</v>
      </c>
      <c r="L31" s="13">
        <f t="shared" si="12"/>
        <v>5.6700000000000007E-2</v>
      </c>
    </row>
    <row r="32" spans="1:12">
      <c r="A32" s="2" t="s">
        <v>36</v>
      </c>
      <c r="B32" s="14">
        <f>Assumptions!B21</f>
        <v>1.4999999999999999E-2</v>
      </c>
      <c r="C32" s="14">
        <f>Assumptions!C21</f>
        <v>1.9400000000000001E-2</v>
      </c>
      <c r="D32" s="14">
        <f>Assumptions!D21</f>
        <v>6.0499999999999998E-2</v>
      </c>
      <c r="E32" s="14">
        <f>Assumptions!E21</f>
        <v>5.8099999999999999E-2</v>
      </c>
      <c r="F32" s="14">
        <f>Assumptions!F21</f>
        <v>5.5300000000000002E-2</v>
      </c>
      <c r="G32" s="14">
        <f>Assumptions!G21</f>
        <v>5.5E-2</v>
      </c>
      <c r="H32" s="13">
        <f>Assumptions!B5</f>
        <v>5.8799999999999998E-2</v>
      </c>
      <c r="I32" s="13">
        <f>Assumptions!B5</f>
        <v>5.8799999999999998E-2</v>
      </c>
      <c r="J32" s="13">
        <f>Assumptions!B5</f>
        <v>5.8799999999999998E-2</v>
      </c>
      <c r="K32" s="13">
        <f>Assumptions!B5</f>
        <v>5.8799999999999998E-2</v>
      </c>
      <c r="L32" s="13">
        <f>Assumptions!B5</f>
        <v>5.8799999999999998E-2</v>
      </c>
    </row>
    <row r="33" spans="1:12">
      <c r="A33" s="2" t="s">
        <v>38</v>
      </c>
      <c r="B33" s="41">
        <f>Assumptions!B6</f>
        <v>0.51</v>
      </c>
      <c r="C33" s="41">
        <f>Assumptions!B6</f>
        <v>0.51</v>
      </c>
      <c r="D33" s="41">
        <f>Assumptions!B6</f>
        <v>0.51</v>
      </c>
      <c r="E33" s="41">
        <f>Assumptions!B6</f>
        <v>0.51</v>
      </c>
      <c r="F33" s="41">
        <f>Assumptions!B6</f>
        <v>0.51</v>
      </c>
      <c r="G33" s="41">
        <f>Assumptions!B6</f>
        <v>0.51</v>
      </c>
      <c r="H33" s="42">
        <f>Assumptions!B6</f>
        <v>0.51</v>
      </c>
      <c r="I33" s="42">
        <f>Assumptions!B6</f>
        <v>0.51</v>
      </c>
      <c r="J33" s="42">
        <f>Assumptions!B6</f>
        <v>0.51</v>
      </c>
      <c r="K33" s="42">
        <f>Assumptions!B6</f>
        <v>0.51</v>
      </c>
      <c r="L33" s="42">
        <f>Assumptions!B6</f>
        <v>0.51</v>
      </c>
    </row>
    <row r="34" spans="1:12">
      <c r="A34" s="2" t="s">
        <v>40</v>
      </c>
      <c r="B34" s="14">
        <f>Assumptions!B7</f>
        <v>5.33E-2</v>
      </c>
      <c r="C34" s="14">
        <f>Assumptions!B7</f>
        <v>5.33E-2</v>
      </c>
      <c r="D34" s="14">
        <f>Assumptions!B7</f>
        <v>5.33E-2</v>
      </c>
      <c r="E34" s="14">
        <f>Assumptions!B7</f>
        <v>5.33E-2</v>
      </c>
      <c r="F34" s="14">
        <f>Assumptions!B7</f>
        <v>5.33E-2</v>
      </c>
      <c r="G34" s="14">
        <f>Assumptions!B7</f>
        <v>5.33E-2</v>
      </c>
      <c r="H34" s="13">
        <f>Assumptions!B7</f>
        <v>5.33E-2</v>
      </c>
      <c r="I34" s="13">
        <f>Assumptions!B7</f>
        <v>5.33E-2</v>
      </c>
      <c r="J34" s="13">
        <f>Assumptions!B7</f>
        <v>5.33E-2</v>
      </c>
      <c r="K34" s="13">
        <f>Assumptions!B7</f>
        <v>5.33E-2</v>
      </c>
      <c r="L34" s="13">
        <f>Assumptions!B7</f>
        <v>5.33E-2</v>
      </c>
    </row>
    <row r="35" spans="1:12">
      <c r="A35" s="17" t="s">
        <v>254</v>
      </c>
      <c r="B35" s="19">
        <f t="shared" ref="B35:L35" si="13">B32+B33*B34</f>
        <v>4.2182999999999998E-2</v>
      </c>
      <c r="C35" s="19">
        <f t="shared" si="13"/>
        <v>4.6582999999999999E-2</v>
      </c>
      <c r="D35" s="19">
        <f t="shared" si="13"/>
        <v>8.7682999999999997E-2</v>
      </c>
      <c r="E35" s="19">
        <f t="shared" si="13"/>
        <v>8.5282999999999998E-2</v>
      </c>
      <c r="F35" s="19">
        <f t="shared" si="13"/>
        <v>8.2483000000000001E-2</v>
      </c>
      <c r="G35" s="19">
        <f t="shared" si="13"/>
        <v>8.2183000000000006E-2</v>
      </c>
      <c r="H35" s="20">
        <f t="shared" si="13"/>
        <v>8.5983000000000004E-2</v>
      </c>
      <c r="I35" s="20">
        <f t="shared" si="13"/>
        <v>8.5983000000000004E-2</v>
      </c>
      <c r="J35" s="20">
        <f t="shared" si="13"/>
        <v>8.5983000000000004E-2</v>
      </c>
      <c r="K35" s="20">
        <f t="shared" si="13"/>
        <v>8.5983000000000004E-2</v>
      </c>
      <c r="L35" s="20">
        <f t="shared" si="13"/>
        <v>8.5983000000000004E-2</v>
      </c>
    </row>
    <row r="36" spans="1:12">
      <c r="A36" s="2" t="s">
        <v>255</v>
      </c>
      <c r="B36" s="14">
        <f>'3-Statement Model'!B65/('3-Statement Model'!B65+B12)</f>
        <v>0.6059886537693906</v>
      </c>
      <c r="C36" s="14">
        <f>'3-Statement Model'!C65/('3-Statement Model'!C65+C12)</f>
        <v>0.67545629529209694</v>
      </c>
      <c r="D36" s="14">
        <f>'3-Statement Model'!D65/('3-Statement Model'!D65+D12)</f>
        <v>0.70199764040468815</v>
      </c>
      <c r="E36" s="14">
        <f>'3-Statement Model'!E65/('3-Statement Model'!E65+E12)</f>
        <v>0.82692632532117405</v>
      </c>
      <c r="F36" s="14">
        <f>'3-Statement Model'!F65/('3-Statement Model'!F65+F12)</f>
        <v>0.8672874805385109</v>
      </c>
      <c r="G36" s="14">
        <f>'3-Statement Model'!G65/('3-Statement Model'!G65+G12)</f>
        <v>0.91987095877608149</v>
      </c>
      <c r="H36" s="13">
        <f>Assumptions!B16</f>
        <v>0.95</v>
      </c>
      <c r="I36" s="13">
        <f>Assumptions!B16</f>
        <v>0.95</v>
      </c>
      <c r="J36" s="13">
        <f>Assumptions!B16</f>
        <v>0.95</v>
      </c>
      <c r="K36" s="13">
        <f>Assumptions!B16</f>
        <v>0.95</v>
      </c>
      <c r="L36" s="13">
        <f>Assumptions!B16</f>
        <v>0.95</v>
      </c>
    </row>
    <row r="37" spans="1:12">
      <c r="A37" s="2" t="s">
        <v>256</v>
      </c>
      <c r="B37" s="14">
        <f>1-B36</f>
        <v>0.3940113462306094</v>
      </c>
      <c r="C37" s="14">
        <f t="shared" ref="C37:G37" si="14">1-C36</f>
        <v>0.32454370470790306</v>
      </c>
      <c r="D37" s="14">
        <f t="shared" si="14"/>
        <v>0.29800235959531185</v>
      </c>
      <c r="E37" s="14">
        <f t="shared" si="14"/>
        <v>0.17307367467882595</v>
      </c>
      <c r="F37" s="14">
        <f t="shared" si="14"/>
        <v>0.1327125194614891</v>
      </c>
      <c r="G37" s="14">
        <f t="shared" si="14"/>
        <v>8.0129041223918507E-2</v>
      </c>
      <c r="H37" s="13">
        <f>Assumptions!B17</f>
        <v>5.0000000000000044E-2</v>
      </c>
      <c r="I37" s="13">
        <f>Assumptions!B17</f>
        <v>5.0000000000000044E-2</v>
      </c>
      <c r="J37" s="13">
        <f>Assumptions!B17</f>
        <v>5.0000000000000044E-2</v>
      </c>
      <c r="K37" s="13">
        <f>Assumptions!B17</f>
        <v>5.0000000000000044E-2</v>
      </c>
      <c r="L37" s="13">
        <f>Assumptions!B17</f>
        <v>5.0000000000000044E-2</v>
      </c>
    </row>
    <row r="38" spans="1:12">
      <c r="A38" s="17" t="s">
        <v>15</v>
      </c>
      <c r="B38" s="19">
        <f t="shared" ref="B38:L38" si="15">B35*B36+B31*B37</f>
        <v>3.2191038414489212E-2</v>
      </c>
      <c r="C38" s="19">
        <f t="shared" si="15"/>
        <v>3.6203272358415937E-2</v>
      </c>
      <c r="D38" s="19">
        <f t="shared" si="15"/>
        <v>7.9988476570337058E-2</v>
      </c>
      <c r="E38" s="19">
        <f t="shared" si="15"/>
        <v>8.2561058881058719E-2</v>
      </c>
      <c r="F38" s="19">
        <f t="shared" si="15"/>
        <v>8.050458291712749E-2</v>
      </c>
      <c r="G38" s="19">
        <f t="shared" si="15"/>
        <v>8.0380149260698003E-2</v>
      </c>
      <c r="H38" s="20">
        <f t="shared" si="15"/>
        <v>8.4518850000000006E-2</v>
      </c>
      <c r="I38" s="20">
        <f t="shared" si="15"/>
        <v>8.4518850000000006E-2</v>
      </c>
      <c r="J38" s="20">
        <f t="shared" si="15"/>
        <v>8.4518850000000006E-2</v>
      </c>
      <c r="K38" s="20">
        <f t="shared" si="15"/>
        <v>8.4518850000000006E-2</v>
      </c>
      <c r="L38" s="20">
        <f t="shared" si="15"/>
        <v>8.4518850000000006E-2</v>
      </c>
    </row>
  </sheetData>
  <mergeCells count="5">
    <mergeCell ref="A1:L1"/>
    <mergeCell ref="A2:L2"/>
    <mergeCell ref="A5:L5"/>
    <mergeCell ref="A16:L16"/>
    <mergeCell ref="A22:L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9"/>
  <sheetViews>
    <sheetView showGridLines="0" topLeftCell="A17" zoomScale="77" workbookViewId="0">
      <selection activeCell="F12" sqref="F12"/>
    </sheetView>
  </sheetViews>
  <sheetFormatPr defaultRowHeight="13.8"/>
  <cols>
    <col min="1" max="1" width="40" customWidth="1"/>
    <col min="2" max="7" width="15" customWidth="1"/>
    <col min="9" max="14" width="14" customWidth="1"/>
  </cols>
  <sheetData>
    <row r="1" spans="1:14" ht="22.05" customHeight="1">
      <c r="A1" s="59" t="s">
        <v>257</v>
      </c>
      <c r="B1" s="60"/>
      <c r="C1" s="60"/>
      <c r="D1" s="60"/>
      <c r="E1" s="60"/>
      <c r="F1" s="60"/>
      <c r="G1" s="60"/>
      <c r="I1" s="68" t="s">
        <v>290</v>
      </c>
      <c r="J1" s="69"/>
      <c r="K1" s="69"/>
      <c r="L1" s="69"/>
      <c r="M1" s="69"/>
      <c r="N1" s="70"/>
    </row>
    <row r="2" spans="1:14" ht="30" customHeight="1">
      <c r="A2" s="61" t="s">
        <v>258</v>
      </c>
      <c r="B2" s="62"/>
      <c r="C2" s="62"/>
      <c r="D2" s="62"/>
      <c r="E2" s="62"/>
      <c r="F2" s="62"/>
      <c r="G2" s="62"/>
      <c r="I2" s="71" t="s">
        <v>291</v>
      </c>
      <c r="J2" s="72"/>
      <c r="K2" s="72"/>
      <c r="L2" s="72"/>
      <c r="M2" s="72"/>
      <c r="N2" s="73"/>
    </row>
    <row r="3" spans="1:14" ht="18" customHeight="1">
      <c r="A3" s="6" t="s">
        <v>2</v>
      </c>
      <c r="B3" s="7" t="s">
        <v>3</v>
      </c>
      <c r="C3" s="7" t="s">
        <v>19</v>
      </c>
      <c r="D3" s="7" t="s">
        <v>20</v>
      </c>
      <c r="E3" s="7" t="s">
        <v>21</v>
      </c>
      <c r="F3" s="7" t="s">
        <v>4</v>
      </c>
      <c r="G3" s="7" t="s">
        <v>259</v>
      </c>
      <c r="I3" s="52"/>
      <c r="J3" s="52"/>
      <c r="K3" s="52"/>
      <c r="L3" s="52"/>
      <c r="M3" s="52"/>
      <c r="N3" s="52"/>
    </row>
    <row r="4" spans="1:14" ht="18" customHeight="1">
      <c r="A4" s="63" t="s">
        <v>260</v>
      </c>
      <c r="B4" s="64"/>
      <c r="C4" s="64"/>
      <c r="D4" s="64"/>
      <c r="E4" s="64"/>
      <c r="F4" s="64"/>
      <c r="G4" s="64"/>
      <c r="I4" s="68" t="s">
        <v>292</v>
      </c>
      <c r="J4" s="69"/>
      <c r="K4" s="69"/>
      <c r="L4" s="69"/>
      <c r="M4" s="69"/>
      <c r="N4" s="70"/>
    </row>
    <row r="5" spans="1:14" ht="18" customHeight="1">
      <c r="A5" s="2" t="s">
        <v>15</v>
      </c>
      <c r="B5" s="13">
        <f>'Debt &amp; WACC'!H38</f>
        <v>8.4518850000000006E-2</v>
      </c>
      <c r="C5" s="13"/>
      <c r="D5" s="13"/>
      <c r="E5" s="13"/>
      <c r="F5" s="13"/>
      <c r="G5" s="13"/>
      <c r="I5" s="49" t="s">
        <v>293</v>
      </c>
      <c r="J5" s="50">
        <f>$B$5-1%</f>
        <v>7.4518850000000011E-2</v>
      </c>
      <c r="K5" s="50">
        <f>$B$5-0.5%</f>
        <v>7.9518850000000002E-2</v>
      </c>
      <c r="L5" s="50">
        <f>$B$5</f>
        <v>8.4518850000000006E-2</v>
      </c>
      <c r="M5" s="50">
        <f>$B$5+0.5%</f>
        <v>8.9518850000000011E-2</v>
      </c>
      <c r="N5" s="51">
        <f>$B$5+1%</f>
        <v>9.4518850000000001E-2</v>
      </c>
    </row>
    <row r="6" spans="1:14" ht="18" customHeight="1">
      <c r="A6" s="2" t="s">
        <v>42</v>
      </c>
      <c r="B6" s="13">
        <f>Assumptions!B8</f>
        <v>0.03</v>
      </c>
      <c r="C6" s="13"/>
      <c r="D6" s="13"/>
      <c r="E6" s="13"/>
      <c r="F6" s="13"/>
      <c r="G6" s="13"/>
      <c r="I6" s="53">
        <f>$B$6-1%</f>
        <v>1.9999999999999997E-2</v>
      </c>
      <c r="J6" s="54">
        <f t="shared" ref="J6:N10" si="0">IF(J$5&gt;$I6,((SUMPRODUCT($B$14:$F$14,1/(1+J$5)^$B$16:$F$16)+($F$14*(1+$I6)/(J$5-$I6))/(1+J$5)^$F$16)-$B$23)/$B$25,NA())</f>
        <v>11.08389018846627</v>
      </c>
      <c r="K6" s="54">
        <f t="shared" si="0"/>
        <v>9.9042685659163396</v>
      </c>
      <c r="L6" s="54">
        <f t="shared" si="0"/>
        <v>8.9116198612676634</v>
      </c>
      <c r="M6" s="54">
        <f t="shared" si="0"/>
        <v>8.0655126884968826</v>
      </c>
      <c r="N6" s="55">
        <f t="shared" si="0"/>
        <v>7.3363693260864764</v>
      </c>
    </row>
    <row r="7" spans="1:14" ht="18" customHeight="1">
      <c r="A7" s="63" t="s">
        <v>261</v>
      </c>
      <c r="B7" s="64"/>
      <c r="C7" s="64"/>
      <c r="D7" s="64"/>
      <c r="E7" s="64"/>
      <c r="F7" s="64"/>
      <c r="G7" s="64"/>
      <c r="I7" s="53">
        <f>$B$6-0.5%</f>
        <v>2.4999999999999998E-2</v>
      </c>
      <c r="J7" s="54">
        <f t="shared" si="0"/>
        <v>12.264073350320023</v>
      </c>
      <c r="K7" s="54">
        <f t="shared" si="0"/>
        <v>10.868099069425128</v>
      </c>
      <c r="L7" s="54">
        <f t="shared" si="0"/>
        <v>9.7111470492661738</v>
      </c>
      <c r="M7" s="54">
        <f t="shared" si="0"/>
        <v>8.7375519010430125</v>
      </c>
      <c r="N7" s="55">
        <f t="shared" si="0"/>
        <v>7.9076652165009058</v>
      </c>
    </row>
    <row r="8" spans="1:14" ht="18" customHeight="1">
      <c r="A8" s="2" t="s">
        <v>202</v>
      </c>
      <c r="B8" s="15">
        <f>'3-Statement Model'!H18</f>
        <v>2032908.3492330015</v>
      </c>
      <c r="C8" s="15">
        <f>'3-Statement Model'!I18</f>
        <v>2560049.0066756718</v>
      </c>
      <c r="D8" s="15">
        <f>'3-Statement Model'!J18</f>
        <v>3132970.0662345011</v>
      </c>
      <c r="E8" s="15">
        <f>'3-Statement Model'!K18</f>
        <v>3718582.5265821749</v>
      </c>
      <c r="F8" s="15">
        <f>'3-Statement Model'!L18</f>
        <v>4275884.9324233085</v>
      </c>
      <c r="G8" s="12"/>
      <c r="I8" s="53">
        <f>$B$6</f>
        <v>0.03</v>
      </c>
      <c r="J8" s="54">
        <f t="shared" si="0"/>
        <v>13.709353917397355</v>
      </c>
      <c r="K8" s="54">
        <f t="shared" si="0"/>
        <v>12.026568685818969</v>
      </c>
      <c r="L8" s="54">
        <f t="shared" si="0"/>
        <v>10.657325751006907</v>
      </c>
      <c r="M8" s="54">
        <f t="shared" si="0"/>
        <v>9.5225031091243615</v>
      </c>
      <c r="N8" s="55">
        <f t="shared" si="0"/>
        <v>8.5675082354544294</v>
      </c>
    </row>
    <row r="9" spans="1:14" ht="18" customHeight="1">
      <c r="A9" s="2" t="s">
        <v>262</v>
      </c>
      <c r="B9" s="16">
        <f>-B8*Assumptions!B15</f>
        <v>-386252.58635427029</v>
      </c>
      <c r="C9" s="16">
        <f>-C8*Assumptions!B15</f>
        <v>-486409.31126837764</v>
      </c>
      <c r="D9" s="16">
        <f>-D8*Assumptions!B15</f>
        <v>-595264.31258455524</v>
      </c>
      <c r="E9" s="16">
        <f>-E8*Assumptions!B15</f>
        <v>-706530.68005061324</v>
      </c>
      <c r="F9" s="16">
        <f>-F8*Assumptions!B15</f>
        <v>-812418.13716042857</v>
      </c>
      <c r="G9" s="3"/>
      <c r="I9" s="53">
        <f>$B$6+0.5%</f>
        <v>3.4999999999999996E-2</v>
      </c>
      <c r="J9" s="54">
        <f t="shared" si="0"/>
        <v>15.520353772125343</v>
      </c>
      <c r="K9" s="54">
        <f t="shared" si="0"/>
        <v>13.445258325055677</v>
      </c>
      <c r="L9" s="54">
        <f t="shared" si="0"/>
        <v>11.794578902526</v>
      </c>
      <c r="M9" s="54">
        <f t="shared" si="0"/>
        <v>10.451432263930805</v>
      </c>
      <c r="N9" s="55">
        <f t="shared" si="0"/>
        <v>9.338214118685995</v>
      </c>
    </row>
    <row r="10" spans="1:14" ht="18" customHeight="1">
      <c r="A10" s="2" t="s">
        <v>263</v>
      </c>
      <c r="B10" s="16">
        <f>B8+B9</f>
        <v>1646655.7628787311</v>
      </c>
      <c r="C10" s="16">
        <f>C8+C9</f>
        <v>2073639.6954072942</v>
      </c>
      <c r="D10" s="16">
        <f>D8+D9</f>
        <v>2537705.7536499458</v>
      </c>
      <c r="E10" s="16">
        <f>E8+E9</f>
        <v>3012051.8465315616</v>
      </c>
      <c r="F10" s="16">
        <f>F8+F9</f>
        <v>3463466.7952628797</v>
      </c>
      <c r="G10" s="3"/>
      <c r="I10" s="56">
        <f>$B$6+1%</f>
        <v>0.04</v>
      </c>
      <c r="J10" s="57">
        <f t="shared" si="0"/>
        <v>17.855994469386612</v>
      </c>
      <c r="K10" s="57">
        <f t="shared" si="0"/>
        <v>15.222938582500339</v>
      </c>
      <c r="L10" s="57">
        <f t="shared" si="0"/>
        <v>13.187286350712487</v>
      </c>
      <c r="M10" s="57">
        <f t="shared" si="0"/>
        <v>11.567952438077651</v>
      </c>
      <c r="N10" s="58">
        <f t="shared" si="0"/>
        <v>10.250285031303097</v>
      </c>
    </row>
    <row r="11" spans="1:14" ht="18" customHeight="1">
      <c r="A11" s="2" t="s">
        <v>210</v>
      </c>
      <c r="B11" s="15">
        <f>'3-Statement Model'!H32</f>
        <v>579936.91758749995</v>
      </c>
      <c r="C11" s="15">
        <f>'3-Statement Model'!I32</f>
        <v>657416.48977718991</v>
      </c>
      <c r="D11" s="15">
        <f>'3-Statement Model'!J32</f>
        <v>734860.15227294271</v>
      </c>
      <c r="E11" s="15">
        <f>'3-Statement Model'!K32</f>
        <v>809889.37382001034</v>
      </c>
      <c r="F11" s="15">
        <f>'3-Statement Model'!L32</f>
        <v>882520.25286418875</v>
      </c>
      <c r="G11" s="12"/>
      <c r="I11" s="52"/>
      <c r="J11" s="52"/>
      <c r="K11" s="52"/>
      <c r="L11" s="52"/>
      <c r="M11" s="52"/>
      <c r="N11" s="52"/>
    </row>
    <row r="12" spans="1:14" ht="18" customHeight="1">
      <c r="A12" s="2" t="s">
        <v>213</v>
      </c>
      <c r="B12" s="15">
        <f>'3-Statement Model'!H35</f>
        <v>-2435735.0538674998</v>
      </c>
      <c r="C12" s="15">
        <f>'3-Statement Model'!I35</f>
        <v>-2673493.7250939053</v>
      </c>
      <c r="D12" s="15">
        <f>'3-Statement Model'!J35</f>
        <v>-2890449.9322735746</v>
      </c>
      <c r="E12" s="15">
        <f>'3-Statement Model'!K35</f>
        <v>-3077579.6205160394</v>
      </c>
      <c r="F12" s="15">
        <f>'3-Statement Model'!L35</f>
        <v>-3235907.593835359</v>
      </c>
      <c r="G12" s="12"/>
      <c r="I12" s="68" t="s">
        <v>294</v>
      </c>
      <c r="J12" s="69"/>
      <c r="K12" s="69"/>
      <c r="L12" s="69"/>
      <c r="M12" s="69"/>
      <c r="N12" s="70"/>
    </row>
    <row r="13" spans="1:14" ht="18" customHeight="1">
      <c r="A13" s="2" t="s">
        <v>264</v>
      </c>
      <c r="B13" s="16">
        <f>-'3-Statement Model'!H33</f>
        <v>-860848.263150685</v>
      </c>
      <c r="C13" s="16">
        <f>-'3-Statement Model'!I33</f>
        <v>-298280.3990929313</v>
      </c>
      <c r="D13" s="16">
        <f>-'3-Statement Model'!J33</f>
        <v>-296428.15088077635</v>
      </c>
      <c r="E13" s="16">
        <f>-'3-Statement Model'!K33</f>
        <v>-286852.91016982356</v>
      </c>
      <c r="F13" s="16">
        <f>-'3-Statement Model'!L33</f>
        <v>-277249.94780355319</v>
      </c>
      <c r="G13" s="3"/>
      <c r="I13" s="49" t="s">
        <v>293</v>
      </c>
      <c r="J13" s="50">
        <f>$B$5-1%</f>
        <v>7.4518850000000011E-2</v>
      </c>
      <c r="K13" s="50">
        <f>$B$5-0.5%</f>
        <v>7.9518850000000002E-2</v>
      </c>
      <c r="L13" s="50">
        <f>$B$5</f>
        <v>8.4518850000000006E-2</v>
      </c>
      <c r="M13" s="50">
        <f>$B$5+0.5%</f>
        <v>8.9518850000000011E-2</v>
      </c>
      <c r="N13" s="51">
        <f>$B$5+1%</f>
        <v>9.4518850000000001E-2</v>
      </c>
    </row>
    <row r="14" spans="1:14" ht="18" customHeight="1">
      <c r="A14" s="17" t="s">
        <v>265</v>
      </c>
      <c r="B14" s="36">
        <f>SUM(B10:B13)</f>
        <v>-1069990.6365519539</v>
      </c>
      <c r="C14" s="36">
        <f>SUM(C10:C13)</f>
        <v>-240717.9390023523</v>
      </c>
      <c r="D14" s="36">
        <f>SUM(D10:D13)</f>
        <v>85687.822768537793</v>
      </c>
      <c r="E14" s="36">
        <f>SUM(E10:E13)</f>
        <v>457508.68966570916</v>
      </c>
      <c r="F14" s="36">
        <f>SUM(F10:F13)</f>
        <v>832829.50648815604</v>
      </c>
      <c r="G14" s="18"/>
      <c r="I14" s="53">
        <f>$B$6-1%</f>
        <v>1.9999999999999997E-2</v>
      </c>
      <c r="J14" s="54">
        <f t="shared" ref="J14:N18" si="1">IF(J$13&gt;$I14,((SUMPRODUCT($B$14:$F$14,1/(1+J$13)^$B$16:$F$16)+($B$34*(1+$I14)/(J$13-$I14))/(1+J$13)^$F$16)-$B$23)/$B$25,NA())</f>
        <v>42.436478712598451</v>
      </c>
      <c r="K14" s="54">
        <f t="shared" si="1"/>
        <v>37.964070428916635</v>
      </c>
      <c r="L14" s="54">
        <f t="shared" si="1"/>
        <v>34.205656307388679</v>
      </c>
      <c r="M14" s="54">
        <f t="shared" si="1"/>
        <v>31.006598034143444</v>
      </c>
      <c r="N14" s="55">
        <f t="shared" si="1"/>
        <v>28.253779409388805</v>
      </c>
    </row>
    <row r="15" spans="1:14" ht="18" customHeight="1">
      <c r="A15" s="63" t="s">
        <v>266</v>
      </c>
      <c r="B15" s="64"/>
      <c r="C15" s="64"/>
      <c r="D15" s="64"/>
      <c r="E15" s="64"/>
      <c r="F15" s="64"/>
      <c r="G15" s="64"/>
      <c r="I15" s="53">
        <f>$B$6-0.5%</f>
        <v>2.4999999999999998E-2</v>
      </c>
      <c r="J15" s="54">
        <f t="shared" si="1"/>
        <v>46.951591882931012</v>
      </c>
      <c r="K15" s="54">
        <f t="shared" si="1"/>
        <v>41.65146738645776</v>
      </c>
      <c r="L15" s="54">
        <f t="shared" si="1"/>
        <v>37.264466035618284</v>
      </c>
      <c r="M15" s="54">
        <f t="shared" si="1"/>
        <v>33.577667676232593</v>
      </c>
      <c r="N15" s="55">
        <f t="shared" si="1"/>
        <v>30.439427944583471</v>
      </c>
    </row>
    <row r="16" spans="1:14" ht="18" customHeight="1">
      <c r="A16" s="2" t="s">
        <v>267</v>
      </c>
      <c r="B16" s="3">
        <f>1</f>
        <v>1</v>
      </c>
      <c r="C16" s="3">
        <f>2</f>
        <v>2</v>
      </c>
      <c r="D16" s="3">
        <f>3</f>
        <v>3</v>
      </c>
      <c r="E16" s="3">
        <f>4</f>
        <v>4</v>
      </c>
      <c r="F16" s="3">
        <f>5</f>
        <v>5</v>
      </c>
      <c r="G16" s="3"/>
      <c r="I16" s="53">
        <f>$B$6</f>
        <v>0.03</v>
      </c>
      <c r="J16" s="54">
        <f t="shared" si="1"/>
        <v>52.480907614725226</v>
      </c>
      <c r="K16" s="54">
        <f t="shared" si="1"/>
        <v>46.083509455414287</v>
      </c>
      <c r="L16" s="54">
        <f t="shared" si="1"/>
        <v>40.884331202146697</v>
      </c>
      <c r="M16" s="54">
        <f t="shared" si="1"/>
        <v>36.580713010407379</v>
      </c>
      <c r="N16" s="55">
        <f t="shared" si="1"/>
        <v>32.963837715478213</v>
      </c>
    </row>
    <row r="17" spans="1:14" ht="18" customHeight="1">
      <c r="A17" s="2" t="s">
        <v>268</v>
      </c>
      <c r="B17" s="3">
        <f>1/(1+$B$5)^B16</f>
        <v>0.92206788291416053</v>
      </c>
      <c r="C17" s="3">
        <f>1/(1+$B$5)^C16</f>
        <v>0.85020918070180207</v>
      </c>
      <c r="D17" s="3">
        <f>1/(1+$B$5)^D16</f>
        <v>0.78395057928389356</v>
      </c>
      <c r="E17" s="3">
        <f>1/(1+$B$5)^E16</f>
        <v>0.72285565094962945</v>
      </c>
      <c r="F17" s="3">
        <f>1/(1+$B$5)^F16</f>
        <v>0.66652197972366212</v>
      </c>
      <c r="G17" s="3"/>
      <c r="I17" s="53">
        <f>$B$6+0.5%</f>
        <v>3.4999999999999996E-2</v>
      </c>
      <c r="J17" s="54">
        <f t="shared" si="1"/>
        <v>59.40938241410214</v>
      </c>
      <c r="K17" s="54">
        <f t="shared" si="1"/>
        <v>51.511094326791884</v>
      </c>
      <c r="L17" s="54">
        <f t="shared" si="1"/>
        <v>45.235203887332808</v>
      </c>
      <c r="M17" s="54">
        <f t="shared" si="1"/>
        <v>40.134585321705615</v>
      </c>
      <c r="N17" s="55">
        <f t="shared" si="1"/>
        <v>35.912383666909818</v>
      </c>
    </row>
    <row r="18" spans="1:14" ht="18" customHeight="1">
      <c r="A18" s="17" t="s">
        <v>269</v>
      </c>
      <c r="B18" s="36">
        <f>B14*B17</f>
        <v>-986604.00098343508</v>
      </c>
      <c r="C18" s="36">
        <f>C14*C17</f>
        <v>-204660.60169941632</v>
      </c>
      <c r="D18" s="36">
        <f>D14*D17</f>
        <v>67175.018296970811</v>
      </c>
      <c r="E18" s="36">
        <f>E14*E17</f>
        <v>330712.74168341822</v>
      </c>
      <c r="F18" s="36">
        <f>F14*F17</f>
        <v>555099.17143676628</v>
      </c>
      <c r="G18" s="18"/>
      <c r="I18" s="56">
        <f>$B$6+1%</f>
        <v>0.04</v>
      </c>
      <c r="J18" s="57">
        <f t="shared" si="1"/>
        <v>68.345014114527913</v>
      </c>
      <c r="K18" s="57">
        <f t="shared" si="1"/>
        <v>58.312095902192446</v>
      </c>
      <c r="L18" s="57">
        <f t="shared" si="1"/>
        <v>50.563386787222626</v>
      </c>
      <c r="M18" s="57">
        <f t="shared" si="1"/>
        <v>44.406138336674957</v>
      </c>
      <c r="N18" s="58">
        <f t="shared" si="1"/>
        <v>39.401760166203609</v>
      </c>
    </row>
    <row r="19" spans="1:14" ht="18" customHeight="1">
      <c r="A19" s="2" t="s">
        <v>270</v>
      </c>
      <c r="B19" s="3"/>
      <c r="C19" s="3"/>
      <c r="D19" s="3"/>
      <c r="E19" s="3"/>
      <c r="F19" s="3"/>
      <c r="G19" s="16">
        <f>F14*(1+$B$6)/($B$5-$B$6)</f>
        <v>15734271.571810495</v>
      </c>
    </row>
    <row r="20" spans="1:14" ht="18" customHeight="1">
      <c r="A20" s="17" t="s">
        <v>271</v>
      </c>
      <c r="B20" s="18"/>
      <c r="C20" s="18"/>
      <c r="D20" s="18"/>
      <c r="E20" s="18"/>
      <c r="F20" s="18"/>
      <c r="G20" s="36">
        <f>G19*F17</f>
        <v>10487237.837552868</v>
      </c>
    </row>
    <row r="21" spans="1:14" ht="18" customHeight="1">
      <c r="A21" s="63" t="s">
        <v>272</v>
      </c>
      <c r="B21" s="64"/>
      <c r="C21" s="64"/>
      <c r="D21" s="64"/>
      <c r="E21" s="64"/>
      <c r="F21" s="64"/>
      <c r="G21" s="64"/>
    </row>
    <row r="22" spans="1:14" ht="18" customHeight="1">
      <c r="A22" s="17" t="s">
        <v>251</v>
      </c>
      <c r="B22" s="36">
        <f>SUM(B18:F18)+G20</f>
        <v>10248960.166287171</v>
      </c>
      <c r="C22" s="18"/>
      <c r="D22" s="18"/>
      <c r="E22" s="18"/>
      <c r="F22" s="18"/>
      <c r="G22" s="18"/>
    </row>
    <row r="23" spans="1:14" ht="18" customHeight="1">
      <c r="A23" s="2" t="s">
        <v>273</v>
      </c>
      <c r="B23" s="15">
        <f>'3-Statement Model'!G89</f>
        <v>-199482</v>
      </c>
      <c r="C23" s="12"/>
      <c r="D23" s="12"/>
      <c r="E23" s="12"/>
      <c r="F23" s="12"/>
      <c r="G23" s="12"/>
    </row>
    <row r="24" spans="1:14" ht="18" customHeight="1">
      <c r="A24" s="17" t="s">
        <v>274</v>
      </c>
      <c r="B24" s="36">
        <f>B22-B23</f>
        <v>10448442.166287171</v>
      </c>
      <c r="C24" s="18"/>
      <c r="D24" s="18"/>
      <c r="E24" s="18"/>
      <c r="F24" s="18"/>
      <c r="G24" s="18"/>
    </row>
    <row r="25" spans="1:14" ht="18" customHeight="1">
      <c r="A25" s="2" t="s">
        <v>44</v>
      </c>
      <c r="B25" s="15">
        <f>Assumptions!B10</f>
        <v>980400</v>
      </c>
      <c r="C25" s="12"/>
      <c r="D25" s="12"/>
      <c r="E25" s="12"/>
      <c r="F25" s="12"/>
      <c r="G25" s="12"/>
    </row>
    <row r="26" spans="1:14" ht="18" customHeight="1">
      <c r="A26" s="17" t="s">
        <v>275</v>
      </c>
      <c r="B26" s="18">
        <f>B24/B25</f>
        <v>10.657325751006907</v>
      </c>
      <c r="C26" s="18"/>
      <c r="D26" s="18"/>
      <c r="E26" s="18"/>
      <c r="F26" s="18"/>
      <c r="G26" s="18"/>
    </row>
    <row r="27" spans="1:14" ht="18" customHeight="1">
      <c r="A27" s="2" t="s">
        <v>43</v>
      </c>
      <c r="B27" s="12">
        <f>Assumptions!B9</f>
        <v>32.840000000000003</v>
      </c>
      <c r="C27" s="12"/>
      <c r="D27" s="12"/>
      <c r="E27" s="12"/>
      <c r="F27" s="12"/>
      <c r="G27" s="12"/>
    </row>
    <row r="28" spans="1:14" ht="18" customHeight="1">
      <c r="A28" s="17" t="s">
        <v>16</v>
      </c>
      <c r="B28" s="20">
        <f>B26/B27-1</f>
        <v>-0.67547729138225021</v>
      </c>
      <c r="C28" s="20"/>
      <c r="D28" s="20"/>
      <c r="E28" s="20"/>
      <c r="F28" s="20"/>
      <c r="G28" s="20"/>
    </row>
    <row r="29" spans="1:14" ht="18" customHeight="1">
      <c r="A29" s="63" t="s">
        <v>276</v>
      </c>
      <c r="B29" s="64"/>
      <c r="C29" s="64"/>
      <c r="D29" s="64"/>
      <c r="E29" s="64"/>
      <c r="F29" s="64"/>
      <c r="G29" s="64"/>
    </row>
    <row r="30" spans="1:14" ht="18" customHeight="1">
      <c r="A30" s="2" t="s">
        <v>277</v>
      </c>
      <c r="B30" s="16">
        <f>F10</f>
        <v>3463466.7952628797</v>
      </c>
      <c r="C30" s="3"/>
      <c r="D30" s="3"/>
      <c r="E30" s="3"/>
      <c r="F30" s="3"/>
      <c r="G30" s="3"/>
    </row>
    <row r="31" spans="1:14" ht="18" customHeight="1">
      <c r="A31" s="2" t="s">
        <v>278</v>
      </c>
      <c r="B31" s="16">
        <f>F11</f>
        <v>882520.25286418875</v>
      </c>
      <c r="C31" s="3"/>
      <c r="D31" s="3"/>
      <c r="E31" s="3"/>
      <c r="F31" s="3"/>
      <c r="G31" s="3"/>
    </row>
    <row r="32" spans="1:14" ht="18" customHeight="1">
      <c r="A32" s="2" t="s">
        <v>279</v>
      </c>
      <c r="B32" s="16">
        <f>-B31</f>
        <v>-882520.25286418875</v>
      </c>
      <c r="C32" s="3"/>
      <c r="D32" s="3"/>
      <c r="E32" s="3"/>
      <c r="F32" s="3"/>
      <c r="G32" s="3"/>
    </row>
    <row r="33" spans="1:7" ht="18" customHeight="1">
      <c r="A33" s="2" t="s">
        <v>280</v>
      </c>
      <c r="B33" s="16">
        <f>F13</f>
        <v>-277249.94780355319</v>
      </c>
      <c r="C33" s="3"/>
      <c r="D33" s="3"/>
      <c r="E33" s="3"/>
      <c r="F33" s="3"/>
      <c r="G33" s="3"/>
    </row>
    <row r="34" spans="1:7" ht="18" customHeight="1">
      <c r="A34" s="17" t="s">
        <v>281</v>
      </c>
      <c r="B34" s="36">
        <f>SUM(B30:B33)</f>
        <v>3186216.8474593265</v>
      </c>
      <c r="C34" s="18"/>
      <c r="D34" s="18"/>
      <c r="E34" s="18"/>
      <c r="F34" s="18"/>
      <c r="G34" s="18"/>
    </row>
    <row r="35" spans="1:7" ht="18" customHeight="1">
      <c r="A35" s="2" t="s">
        <v>270</v>
      </c>
      <c r="B35" s="16">
        <f>B34*(1+$B$6)/($B$5-$B$6)</f>
        <v>60195755.282495983</v>
      </c>
      <c r="C35" s="3"/>
      <c r="D35" s="3"/>
      <c r="E35" s="3"/>
      <c r="F35" s="3"/>
      <c r="G35" s="3"/>
    </row>
    <row r="36" spans="1:7" ht="18" customHeight="1">
      <c r="A36" s="17" t="s">
        <v>271</v>
      </c>
      <c r="B36" s="36">
        <f>B35*F17</f>
        <v>40121793.981850311</v>
      </c>
      <c r="C36" s="18"/>
      <c r="D36" s="18"/>
      <c r="E36" s="18"/>
      <c r="F36" s="18"/>
      <c r="G36" s="18"/>
    </row>
    <row r="37" spans="1:7" ht="18" customHeight="1">
      <c r="A37" s="17" t="s">
        <v>251</v>
      </c>
      <c r="B37" s="36">
        <f>SUM(B18:F18)+B36</f>
        <v>39883516.310584612</v>
      </c>
      <c r="C37" s="18"/>
      <c r="D37" s="18"/>
      <c r="E37" s="18"/>
      <c r="F37" s="18"/>
      <c r="G37" s="18"/>
    </row>
    <row r="38" spans="1:7" ht="18" customHeight="1">
      <c r="A38" s="17" t="s">
        <v>275</v>
      </c>
      <c r="B38" s="18">
        <f>(B37-B23)/B25</f>
        <v>40.88433120214669</v>
      </c>
      <c r="C38" s="18"/>
      <c r="D38" s="18"/>
      <c r="E38" s="18"/>
      <c r="F38" s="18"/>
      <c r="G38" s="18"/>
    </row>
    <row r="39" spans="1:7" ht="18" customHeight="1">
      <c r="A39" s="17" t="s">
        <v>16</v>
      </c>
      <c r="B39" s="20">
        <f>B38/B27-1</f>
        <v>0.24495527412139717</v>
      </c>
      <c r="C39" s="20"/>
      <c r="D39" s="20"/>
      <c r="E39" s="20"/>
      <c r="F39" s="20"/>
      <c r="G39" s="20"/>
    </row>
  </sheetData>
  <mergeCells count="11">
    <mergeCell ref="A29:G29"/>
    <mergeCell ref="A1:G1"/>
    <mergeCell ref="A2:G2"/>
    <mergeCell ref="A4:G4"/>
    <mergeCell ref="A7:G7"/>
    <mergeCell ref="A15:G15"/>
    <mergeCell ref="I1:N1"/>
    <mergeCell ref="I2:N2"/>
    <mergeCell ref="I4:N4"/>
    <mergeCell ref="I12:N12"/>
    <mergeCell ref="A21:G21"/>
  </mergeCells>
  <conditionalFormatting sqref="J6:N1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J14:N18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"/>
  <sheetViews>
    <sheetView showGridLines="0" workbookViewId="0">
      <selection activeCell="A24" sqref="A24"/>
    </sheetView>
  </sheetViews>
  <sheetFormatPr defaultRowHeight="13.8"/>
  <cols>
    <col min="1" max="1" width="38" customWidth="1"/>
    <col min="2" max="12" width="13" customWidth="1"/>
  </cols>
  <sheetData>
    <row r="1" spans="1:12" ht="22.05" customHeight="1">
      <c r="A1" s="59" t="s">
        <v>282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30" customHeight="1">
      <c r="A2" s="61" t="s">
        <v>283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2" ht="18" customHeight="1">
      <c r="A3" s="6" t="s">
        <v>2</v>
      </c>
      <c r="B3" s="24">
        <v>2020</v>
      </c>
      <c r="C3" s="24">
        <v>2021</v>
      </c>
      <c r="D3" s="24">
        <v>2022</v>
      </c>
      <c r="E3" s="24">
        <v>2023</v>
      </c>
      <c r="F3" s="24">
        <v>2024</v>
      </c>
      <c r="G3" s="24">
        <v>2025</v>
      </c>
      <c r="H3" s="24">
        <v>2026</v>
      </c>
      <c r="I3" s="24">
        <v>2027</v>
      </c>
      <c r="J3" s="24">
        <v>2028</v>
      </c>
      <c r="K3" s="24">
        <v>2029</v>
      </c>
      <c r="L3" s="24">
        <v>2030</v>
      </c>
    </row>
    <row r="4" spans="1:12" ht="18" customHeight="1">
      <c r="A4" s="2" t="s">
        <v>284</v>
      </c>
      <c r="B4" s="3">
        <f>'3-Statement Model'!B86</f>
        <v>0</v>
      </c>
      <c r="C4" s="3">
        <f>'3-Statement Model'!C86</f>
        <v>0</v>
      </c>
      <c r="D4" s="3">
        <f>'3-Statement Model'!D86</f>
        <v>0</v>
      </c>
      <c r="E4" s="3">
        <f>'3-Statement Model'!E86</f>
        <v>0</v>
      </c>
      <c r="F4" s="3">
        <f>'3-Statement Model'!F86</f>
        <v>0</v>
      </c>
      <c r="G4" s="3">
        <f>'3-Statement Model'!G86</f>
        <v>0</v>
      </c>
      <c r="H4" s="3">
        <f>'3-Statement Model'!H86</f>
        <v>0</v>
      </c>
      <c r="I4" s="3">
        <f>'3-Statement Model'!I86</f>
        <v>0</v>
      </c>
      <c r="J4" s="3">
        <f>'3-Statement Model'!J86</f>
        <v>0</v>
      </c>
      <c r="K4" s="3">
        <f>'3-Statement Model'!K86</f>
        <v>0</v>
      </c>
      <c r="L4" s="3">
        <f>'3-Statement Model'!L86</f>
        <v>0</v>
      </c>
    </row>
    <row r="5" spans="1:12" ht="18" customHeight="1">
      <c r="A5" s="2" t="s">
        <v>236</v>
      </c>
      <c r="B5" s="3">
        <f>'3-Statement Model'!B87</f>
        <v>0</v>
      </c>
      <c r="C5" s="3">
        <f>'3-Statement Model'!C87</f>
        <v>0</v>
      </c>
      <c r="D5" s="3">
        <f>'3-Statement Model'!D87</f>
        <v>0</v>
      </c>
      <c r="E5" s="3">
        <f>'3-Statement Model'!E87</f>
        <v>0</v>
      </c>
      <c r="F5" s="3">
        <f>'3-Statement Model'!F87</f>
        <v>0</v>
      </c>
      <c r="G5" s="3">
        <f>'3-Statement Model'!G87</f>
        <v>0</v>
      </c>
      <c r="H5" s="3">
        <f>'3-Statement Model'!H87</f>
        <v>0</v>
      </c>
      <c r="I5" s="3">
        <f>'3-Statement Model'!I87</f>
        <v>0</v>
      </c>
      <c r="J5" s="3">
        <f>'3-Statement Model'!J87</f>
        <v>0</v>
      </c>
      <c r="K5" s="3">
        <f>'3-Statement Model'!K87</f>
        <v>0</v>
      </c>
      <c r="L5" s="3">
        <f>'3-Statement Model'!L87</f>
        <v>0</v>
      </c>
    </row>
    <row r="6" spans="1:12" ht="18" customHeight="1">
      <c r="A6" s="2" t="s">
        <v>285</v>
      </c>
      <c r="B6" s="3">
        <f>'Debt &amp; WACC'!B12-'3-Statement Model'!B88</f>
        <v>0</v>
      </c>
      <c r="C6" s="3">
        <f>'Debt &amp; WACC'!C12-'3-Statement Model'!C88</f>
        <v>0</v>
      </c>
      <c r="D6" s="3">
        <f>'Debt &amp; WACC'!D12-'3-Statement Model'!D88</f>
        <v>0</v>
      </c>
      <c r="E6" s="3">
        <f>'Debt &amp; WACC'!E12-'3-Statement Model'!E88</f>
        <v>0</v>
      </c>
      <c r="F6" s="3">
        <f>'Debt &amp; WACC'!F12-'3-Statement Model'!F88</f>
        <v>0</v>
      </c>
      <c r="G6" s="3">
        <f>'Debt &amp; WACC'!G12-'3-Statement Model'!G88</f>
        <v>0</v>
      </c>
      <c r="H6" s="3">
        <f>'Debt &amp; WACC'!H12-'3-Statement Model'!H88</f>
        <v>0</v>
      </c>
      <c r="I6" s="3">
        <f>'Debt &amp; WACC'!I12-'3-Statement Model'!I88</f>
        <v>0</v>
      </c>
      <c r="J6" s="3">
        <f>'Debt &amp; WACC'!J12-'3-Statement Model'!J88</f>
        <v>0</v>
      </c>
      <c r="K6" s="3">
        <f>'Debt &amp; WACC'!K12-'3-Statement Model'!K88</f>
        <v>0</v>
      </c>
      <c r="L6" s="3">
        <f>'Debt &amp; WACC'!L12-'3-Statement Model'!L88</f>
        <v>0</v>
      </c>
    </row>
    <row r="7" spans="1:12" ht="18" customHeight="1">
      <c r="A7" s="2" t="s">
        <v>286</v>
      </c>
      <c r="B7" s="3">
        <f>'Debt &amp; WACC'!B13-'3-Statement Model'!B56</f>
        <v>0</v>
      </c>
      <c r="C7" s="3">
        <f>'Debt &amp; WACC'!C13-'3-Statement Model'!C56</f>
        <v>0</v>
      </c>
      <c r="D7" s="3">
        <f>'Debt &amp; WACC'!D13-'3-Statement Model'!D56</f>
        <v>0</v>
      </c>
      <c r="E7" s="3">
        <f>'Debt &amp; WACC'!E13-'3-Statement Model'!E56</f>
        <v>0</v>
      </c>
      <c r="F7" s="3">
        <f>'Debt &amp; WACC'!F13-'3-Statement Model'!F56</f>
        <v>0</v>
      </c>
      <c r="G7" s="3">
        <f>'Debt &amp; WACC'!G13-'3-Statement Model'!G56</f>
        <v>0</v>
      </c>
      <c r="H7" s="3">
        <f>'Debt &amp; WACC'!H13-'3-Statement Model'!H56</f>
        <v>0</v>
      </c>
      <c r="I7" s="3">
        <f>'Debt &amp; WACC'!I13-'3-Statement Model'!I56</f>
        <v>0</v>
      </c>
      <c r="J7" s="3">
        <f>'Debt &amp; WACC'!J13-'3-Statement Model'!J56</f>
        <v>0</v>
      </c>
      <c r="K7" s="3">
        <f>'Debt &amp; WACC'!K13-'3-Statement Model'!K56</f>
        <v>0</v>
      </c>
      <c r="L7" s="3">
        <f>'Debt &amp; WACC'!L13-'3-Statement Model'!L56</f>
        <v>0</v>
      </c>
    </row>
    <row r="8" spans="1:12" ht="18" customHeight="1">
      <c r="A8" s="2" t="s">
        <v>287</v>
      </c>
      <c r="B8" s="3"/>
      <c r="C8" s="3"/>
      <c r="D8" s="3"/>
      <c r="E8" s="3"/>
      <c r="F8" s="3"/>
      <c r="G8" s="3"/>
      <c r="H8" s="3">
        <f>'DCF Valuation'!B5-'Debt &amp; WACC'!H38</f>
        <v>0</v>
      </c>
      <c r="I8" s="3"/>
      <c r="J8" s="3"/>
      <c r="K8" s="3"/>
      <c r="L8" s="3"/>
    </row>
    <row r="9" spans="1:12" ht="18" customHeight="1">
      <c r="A9" s="2" t="s">
        <v>288</v>
      </c>
      <c r="B9" s="3"/>
      <c r="C9" s="3"/>
      <c r="D9" s="3"/>
      <c r="E9" s="3"/>
      <c r="F9" s="3"/>
      <c r="G9" s="3"/>
      <c r="H9" s="3">
        <f>IF(ABS('3-Statement Model'!H35)&gt;ABS('3-Statement Model'!G35),0,1)</f>
        <v>0</v>
      </c>
      <c r="I9" s="3">
        <f>IF(ABS('3-Statement Model'!I35)&gt;ABS('3-Statement Model'!H35),0,1)</f>
        <v>0</v>
      </c>
      <c r="J9" s="3">
        <f>IF(ABS('3-Statement Model'!J35)&gt;ABS('3-Statement Model'!I35),0,1)</f>
        <v>0</v>
      </c>
      <c r="K9" s="3">
        <f>IF(ABS('3-Statement Model'!K35)&gt;ABS('3-Statement Model'!J35),0,1)</f>
        <v>0</v>
      </c>
      <c r="L9" s="3">
        <f>IF(ABS('3-Statement Model'!L35)&gt;ABS('3-Statement Model'!K35),0,1)</f>
        <v>0</v>
      </c>
    </row>
    <row r="10" spans="1:12" ht="18" customHeight="1">
      <c r="A10" s="2" t="s">
        <v>289</v>
      </c>
      <c r="B10" s="3"/>
      <c r="C10" s="3"/>
      <c r="D10" s="3"/>
      <c r="E10" s="3"/>
      <c r="F10" s="3"/>
      <c r="G10" s="3"/>
      <c r="H10" s="3">
        <f>'DCF Valuation'!B32+'DCF Valuation'!B31</f>
        <v>0</v>
      </c>
      <c r="I10" s="3"/>
      <c r="J10" s="3"/>
      <c r="K10" s="3"/>
      <c r="L10" s="3"/>
    </row>
  </sheetData>
  <mergeCells count="2">
    <mergeCell ref="A1:L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Assumptions</vt:lpstr>
      <vt:lpstr>Source Data</vt:lpstr>
      <vt:lpstr>Operating Drivers</vt:lpstr>
      <vt:lpstr>3-Statement Model</vt:lpstr>
      <vt:lpstr>Debt &amp; WACC</vt:lpstr>
      <vt:lpstr>DCF Valuation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Anatoly Daneiko</cp:lastModifiedBy>
  <dcterms:modified xsi:type="dcterms:W3CDTF">2026-05-24T00:21:51Z</dcterms:modified>
</cp:coreProperties>
</file>